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文档\工作档案\2026\"/>
    </mc:Choice>
  </mc:AlternateContent>
  <xr:revisionPtr revIDLastSave="0" documentId="8_{8F494607-9D21-4F34-BFD9-8DFD4815CEB0}" xr6:coauthVersionLast="47" xr6:coauthVersionMax="47" xr10:uidLastSave="{00000000-0000-0000-0000-000000000000}"/>
  <bookViews>
    <workbookView xWindow="-108" yWindow="-108" windowWidth="27096" windowHeight="16296" xr2:uid="{AE1D37AF-1D3A-40BC-9AD7-6BA92D237D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3" i="1" l="1"/>
  <c r="M42" i="1"/>
  <c r="M41" i="1"/>
  <c r="M40" i="1"/>
  <c r="M39" i="1"/>
  <c r="M38" i="1"/>
  <c r="M37" i="1"/>
  <c r="M36" i="1"/>
  <c r="M35" i="1"/>
  <c r="M34" i="1"/>
  <c r="Q25" i="1" a="1"/>
  <c r="P25" i="1" a="1"/>
  <c r="O25" i="1" a="1"/>
  <c r="N25" i="1" a="1"/>
  <c r="Q24" i="1" a="1"/>
  <c r="P24" i="1" a="1"/>
  <c r="O24" i="1" a="1"/>
  <c r="N24" i="1" a="1"/>
  <c r="Q23" i="1" a="1"/>
  <c r="P23" i="1" a="1"/>
  <c r="O23" i="1" a="1"/>
  <c r="N23" i="1" a="1"/>
  <c r="Q22" i="1" a="1"/>
  <c r="P22" i="1" a="1"/>
  <c r="O22" i="1" a="1"/>
  <c r="N22" i="1" a="1"/>
  <c r="Q21" i="1" a="1"/>
  <c r="P21" i="1" a="1"/>
  <c r="O21" i="1" a="1"/>
  <c r="N21" i="1" a="1"/>
  <c r="Q20" i="1" a="1"/>
  <c r="P20" i="1" a="1"/>
  <c r="O20" i="1" a="1"/>
  <c r="N20" i="1" a="1"/>
  <c r="Q19" i="1" a="1"/>
  <c r="P19" i="1" a="1"/>
  <c r="O19" i="1" a="1"/>
  <c r="N19" i="1" a="1"/>
  <c r="Q18" i="1" a="1"/>
  <c r="P18" i="1" a="1"/>
  <c r="O18" i="1" a="1"/>
  <c r="N18" i="1" a="1"/>
  <c r="Q17" i="1" a="1"/>
  <c r="P17" i="1" a="1"/>
  <c r="O17" i="1" a="1"/>
  <c r="N17" i="1" a="1"/>
  <c r="Q16" i="1" a="1"/>
  <c r="P16" i="1" a="1"/>
  <c r="O16" i="1" a="1"/>
  <c r="N16" i="1" a="1"/>
  <c r="Q15" i="1" a="1"/>
  <c r="P15" i="1" a="1"/>
  <c r="O15" i="1" a="1"/>
  <c r="N15" i="1" a="1"/>
  <c r="Q14" i="1" a="1"/>
  <c r="P14" i="1" a="1"/>
  <c r="O14" i="1" a="1"/>
  <c r="N14" i="1" a="1"/>
  <c r="Q13" i="1" a="1"/>
  <c r="P13" i="1" a="1"/>
  <c r="O13" i="1" a="1"/>
  <c r="N13" i="1" a="1"/>
  <c r="Q12" i="1" a="1"/>
  <c r="P12" i="1" a="1"/>
  <c r="O12" i="1" a="1"/>
  <c r="N12" i="1" a="1"/>
  <c r="Q11" i="1" a="1"/>
  <c r="P11" i="1" a="1"/>
  <c r="O11" i="1" a="1"/>
  <c r="N11" i="1" a="1"/>
  <c r="H6" i="1"/>
  <c r="G6" i="1"/>
  <c r="F6" i="1"/>
  <c r="E6" i="1"/>
  <c r="H5" i="1"/>
  <c r="G5" i="1"/>
  <c r="F5" i="1"/>
  <c r="E5" i="1"/>
  <c r="H4" i="1"/>
  <c r="G4" i="1"/>
  <c r="F4" i="1"/>
  <c r="E4" i="1"/>
  <c r="M12" i="1" l="1" a="1"/>
  <c r="M12" i="1" s="1"/>
  <c r="L12" i="1" a="1"/>
  <c r="L12" i="1" s="1"/>
  <c r="K12" i="1" a="1"/>
  <c r="K12" i="1" s="1"/>
  <c r="U41" i="1"/>
  <c r="W39" i="1"/>
  <c r="W38" i="1"/>
  <c r="W37" i="1"/>
  <c r="M25" i="1" a="1"/>
  <c r="M25" i="1" s="1"/>
  <c r="O24" i="1"/>
  <c r="N24" i="1"/>
  <c r="P23" i="1"/>
  <c r="O23" i="1"/>
  <c r="M22" i="1" a="1"/>
  <c r="M22" i="1" s="1"/>
  <c r="L22" i="1" a="1"/>
  <c r="L22" i="1" s="1"/>
  <c r="O21" i="1"/>
  <c r="N21" i="1"/>
  <c r="M21" i="1" a="1"/>
  <c r="M21" i="1" s="1"/>
  <c r="L21" i="1" a="1"/>
  <c r="L21" i="1" s="1"/>
  <c r="O20" i="1"/>
  <c r="Q19" i="1"/>
  <c r="P19" i="1"/>
  <c r="P18" i="1"/>
  <c r="L15" i="1" a="1"/>
  <c r="L15" i="1" s="1"/>
  <c r="N14" i="1"/>
  <c r="M14" i="1" a="1"/>
  <c r="M14" i="1" s="1"/>
  <c r="M13" i="1" a="1"/>
  <c r="M13" i="1" s="1"/>
  <c r="P12" i="1"/>
  <c r="N12" i="1"/>
  <c r="O11" i="1"/>
  <c r="K11" i="1" a="1"/>
  <c r="K11" i="1" s="1"/>
  <c r="Q25" i="1"/>
  <c r="L25" i="1" a="1"/>
  <c r="L25" i="1" s="1"/>
  <c r="L24" i="1" a="1"/>
  <c r="L24" i="1" s="1"/>
  <c r="O22" i="1"/>
  <c r="Q20" i="1"/>
  <c r="O19" i="1"/>
  <c r="N19" i="1"/>
  <c r="O18" i="1"/>
  <c r="P17" i="1"/>
  <c r="O17" i="1"/>
  <c r="P16" i="1"/>
  <c r="O14" i="1"/>
  <c r="N13" i="1"/>
  <c r="W41" i="1"/>
  <c r="U38" i="1"/>
  <c r="U36" i="1"/>
  <c r="W43" i="1"/>
  <c r="W35" i="1"/>
  <c r="U42" i="1"/>
  <c r="U39" i="1"/>
  <c r="U34" i="1"/>
  <c r="O25" i="1"/>
  <c r="N23" i="1"/>
  <c r="P22" i="1"/>
  <c r="P21" i="1"/>
  <c r="K21" i="1" a="1"/>
  <c r="K21" i="1" s="1"/>
  <c r="N20" i="1"/>
  <c r="L19" i="1" a="1"/>
  <c r="L19" i="1" s="1"/>
  <c r="S19" i="1" s="1"/>
  <c r="G43" i="1" s="1"/>
  <c r="Q18" i="1"/>
  <c r="N18" i="1"/>
  <c r="O16" i="1"/>
  <c r="M16" i="1" a="1"/>
  <c r="M16" i="1" s="1"/>
  <c r="L16" i="1" a="1"/>
  <c r="L16" i="1" s="1"/>
  <c r="O15" i="1"/>
  <c r="N15" i="1"/>
  <c r="P14" i="1"/>
  <c r="O13" i="1"/>
  <c r="P11" i="1"/>
  <c r="L11" i="1" a="1"/>
  <c r="L11" i="1" s="1"/>
  <c r="N17" i="1"/>
  <c r="Q15" i="1"/>
  <c r="P13" i="1"/>
  <c r="Q12" i="1"/>
  <c r="N11" i="1"/>
  <c r="M11" i="1" a="1"/>
  <c r="M11" i="1" s="1"/>
  <c r="W42" i="1"/>
  <c r="W40" i="1"/>
  <c r="U37" i="1"/>
  <c r="U43" i="1"/>
  <c r="P25" i="1"/>
  <c r="N25" i="1"/>
  <c r="K25" i="1" a="1"/>
  <c r="K25" i="1" s="1"/>
  <c r="R25" i="1" s="1"/>
  <c r="W25" i="1" s="1"/>
  <c r="Q24" i="1"/>
  <c r="P24" i="1"/>
  <c r="M24" i="1" a="1"/>
  <c r="M24" i="1" s="1"/>
  <c r="T24" i="1" s="1"/>
  <c r="K24" i="1" a="1"/>
  <c r="K24" i="1" s="1"/>
  <c r="R24" i="1" s="1"/>
  <c r="Q23" i="1"/>
  <c r="M23" i="1" a="1"/>
  <c r="M23" i="1" s="1"/>
  <c r="T23" i="1" s="1"/>
  <c r="L23" i="1" a="1"/>
  <c r="L23" i="1" s="1"/>
  <c r="S23" i="1" s="1"/>
  <c r="K23" i="1" a="1"/>
  <c r="K23" i="1" s="1"/>
  <c r="R23" i="1" s="1"/>
  <c r="Q22" i="1"/>
  <c r="N22" i="1"/>
  <c r="K22" i="1" a="1"/>
  <c r="K22" i="1" s="1"/>
  <c r="R22" i="1" s="1"/>
  <c r="Q21" i="1"/>
  <c r="P20" i="1"/>
  <c r="M20" i="1" a="1"/>
  <c r="M20" i="1" s="1"/>
  <c r="T20" i="1" s="1"/>
  <c r="H44" i="1" s="1"/>
  <c r="L20" i="1" a="1"/>
  <c r="L20" i="1" s="1"/>
  <c r="S20" i="1" s="1"/>
  <c r="G44" i="1" s="1"/>
  <c r="K20" i="1" a="1"/>
  <c r="K20" i="1" s="1"/>
  <c r="R20" i="1" s="1"/>
  <c r="F44" i="1" s="1"/>
  <c r="M19" i="1" a="1"/>
  <c r="M19" i="1" s="1"/>
  <c r="T19" i="1" s="1"/>
  <c r="H43" i="1" s="1"/>
  <c r="K19" i="1" a="1"/>
  <c r="K19" i="1" s="1"/>
  <c r="R19" i="1" s="1"/>
  <c r="F43" i="1" s="1"/>
  <c r="M18" i="1" a="1"/>
  <c r="M18" i="1" s="1"/>
  <c r="L18" i="1" a="1"/>
  <c r="L18" i="1" s="1"/>
  <c r="S18" i="1" s="1"/>
  <c r="G42" i="1" s="1"/>
  <c r="K18" i="1" a="1"/>
  <c r="K18" i="1" s="1"/>
  <c r="R18" i="1" s="1"/>
  <c r="F42" i="1" s="1"/>
  <c r="Q17" i="1"/>
  <c r="M17" i="1" a="1"/>
  <c r="M17" i="1" s="1"/>
  <c r="T17" i="1" s="1"/>
  <c r="H41" i="1" s="1"/>
  <c r="L17" i="1" a="1"/>
  <c r="L17" i="1" s="1"/>
  <c r="S17" i="1" s="1"/>
  <c r="G41" i="1" s="1"/>
  <c r="K17" i="1" a="1"/>
  <c r="K17" i="1" s="1"/>
  <c r="R17" i="1" s="1"/>
  <c r="F41" i="1" s="1"/>
  <c r="Q16" i="1"/>
  <c r="N16" i="1"/>
  <c r="K16" i="1" a="1"/>
  <c r="K16" i="1" s="1"/>
  <c r="R16" i="1" s="1"/>
  <c r="F40" i="1" s="1"/>
  <c r="P15" i="1"/>
  <c r="M15" i="1" a="1"/>
  <c r="M15" i="1" s="1"/>
  <c r="T15" i="1" s="1"/>
  <c r="H39" i="1" s="1"/>
  <c r="K15" i="1" a="1"/>
  <c r="K15" i="1" s="1"/>
  <c r="R15" i="1" s="1"/>
  <c r="F39" i="1" s="1"/>
  <c r="Q14" i="1"/>
  <c r="L14" i="1" a="1"/>
  <c r="L14" i="1" s="1"/>
  <c r="S14" i="1" s="1"/>
  <c r="G38" i="1" s="1"/>
  <c r="K14" i="1" a="1"/>
  <c r="K14" i="1" s="1"/>
  <c r="R14" i="1" s="1"/>
  <c r="F38" i="1" s="1"/>
  <c r="Q13" i="1"/>
  <c r="L13" i="1" a="1"/>
  <c r="L13" i="1" s="1"/>
  <c r="S13" i="1" s="1"/>
  <c r="G37" i="1" s="1"/>
  <c r="K13" i="1" a="1"/>
  <c r="K13" i="1" s="1"/>
  <c r="R13" i="1" s="1"/>
  <c r="F37" i="1" s="1"/>
  <c r="O12" i="1"/>
  <c r="Q11" i="1"/>
  <c r="F34" i="1"/>
  <c r="U40" i="1"/>
  <c r="W36" i="1"/>
  <c r="U35" i="1"/>
  <c r="W34" i="1"/>
  <c r="N43" i="1" l="1"/>
  <c r="N38" i="1"/>
  <c r="N40" i="1"/>
  <c r="N34" i="1"/>
  <c r="N41" i="1"/>
  <c r="N42" i="1"/>
  <c r="N37" i="1"/>
  <c r="N39" i="1"/>
  <c r="R12" i="1"/>
  <c r="T25" i="1"/>
  <c r="Y25" i="1" s="1"/>
  <c r="S22" i="1"/>
  <c r="X22" i="1" s="1"/>
  <c r="T21" i="1"/>
  <c r="Y21" i="1" s="1"/>
  <c r="X20" i="1"/>
  <c r="T14" i="1"/>
  <c r="T13" i="1"/>
  <c r="Y24" i="1"/>
  <c r="S24" i="1"/>
  <c r="X24" i="1" s="1"/>
  <c r="R21" i="1"/>
  <c r="W21" i="1" s="1"/>
  <c r="X18" i="1"/>
  <c r="T16" i="1"/>
  <c r="Y15" i="1"/>
  <c r="W15" i="1"/>
  <c r="W13" i="1"/>
  <c r="S11" i="1"/>
  <c r="Y20" i="1"/>
  <c r="W20" i="1"/>
  <c r="X13" i="1"/>
  <c r="W18" i="1"/>
  <c r="T18" i="1"/>
  <c r="Y17" i="1"/>
  <c r="W17" i="1"/>
  <c r="Y23" i="1"/>
  <c r="W23" i="1"/>
  <c r="S12" i="1"/>
  <c r="W24" i="1"/>
  <c r="T22" i="1"/>
  <c r="Y22" i="1" s="1"/>
  <c r="S21" i="1"/>
  <c r="X21" i="1" s="1"/>
  <c r="S15" i="1"/>
  <c r="T12" i="1"/>
  <c r="R11" i="1"/>
  <c r="S25" i="1"/>
  <c r="X25" i="1" s="1"/>
  <c r="X23" i="1"/>
  <c r="X17" i="1"/>
  <c r="S16" i="1"/>
  <c r="T11" i="1"/>
  <c r="W22" i="1"/>
  <c r="W16" i="1"/>
  <c r="X14" i="1"/>
  <c r="W14" i="1"/>
  <c r="W12" i="1" l="1"/>
  <c r="F36" i="1"/>
  <c r="N36" i="1" s="1"/>
  <c r="Y14" i="1"/>
  <c r="H38" i="1"/>
  <c r="Y13" i="1"/>
  <c r="H37" i="1"/>
  <c r="H34" i="1"/>
  <c r="Y16" i="1"/>
  <c r="H40" i="1"/>
  <c r="X11" i="1"/>
  <c r="G35" i="1"/>
  <c r="G34" i="1"/>
  <c r="Y18" i="1"/>
  <c r="H42" i="1"/>
  <c r="X12" i="1"/>
  <c r="G36" i="1"/>
  <c r="X15" i="1"/>
  <c r="G39" i="1"/>
  <c r="Y12" i="1"/>
  <c r="H36" i="1"/>
  <c r="W11" i="1"/>
  <c r="F35" i="1"/>
  <c r="N35" i="1" s="1"/>
  <c r="X16" i="1"/>
  <c r="G40" i="1"/>
  <c r="W27" i="1"/>
  <c r="W26" i="1"/>
  <c r="Y11" i="1"/>
  <c r="H35" i="1"/>
  <c r="Y27" i="1" l="1"/>
  <c r="Y26" i="1"/>
  <c r="P34" i="1"/>
  <c r="P38" i="1"/>
  <c r="P35" i="1"/>
  <c r="P43" i="1"/>
  <c r="P41" i="1"/>
  <c r="P36" i="1"/>
  <c r="P40" i="1"/>
  <c r="P39" i="1"/>
  <c r="P37" i="1"/>
  <c r="P42" i="1"/>
  <c r="X26" i="1"/>
  <c r="X27" i="1"/>
  <c r="O39" i="1"/>
  <c r="V39" i="1" s="1"/>
  <c r="O37" i="1"/>
  <c r="V37" i="1" s="1"/>
  <c r="O41" i="1"/>
  <c r="V41" i="1" s="1"/>
  <c r="O34" i="1"/>
  <c r="V34" i="1" s="1"/>
  <c r="O35" i="1"/>
  <c r="V35" i="1" s="1"/>
  <c r="O42" i="1"/>
  <c r="V42" i="1" s="1"/>
  <c r="O36" i="1"/>
  <c r="V36" i="1" s="1"/>
  <c r="O43" i="1"/>
  <c r="V43" i="1" s="1"/>
  <c r="O38" i="1"/>
  <c r="V38" i="1" s="1"/>
  <c r="O40" i="1"/>
  <c r="V40" i="1" s="1"/>
</calcChain>
</file>

<file path=xl/sharedStrings.xml><?xml version="1.0" encoding="utf-8"?>
<sst xmlns="http://schemas.openxmlformats.org/spreadsheetml/2006/main" count="98" uniqueCount="42">
  <si>
    <t>X</t>
  </si>
  <si>
    <r>
      <rPr>
        <b/>
        <sz val="9"/>
        <color theme="2"/>
        <rFont val="字魂36号-正文宋楷"/>
        <family val="3"/>
        <charset val="134"/>
      </rPr>
      <t>新规</t>
    </r>
  </si>
  <si>
    <r>
      <rPr>
        <b/>
        <sz val="9"/>
        <color theme="2"/>
        <rFont val="字魂36号-正文宋楷"/>
        <family val="3"/>
        <charset val="134"/>
      </rPr>
      <t>铁</t>
    </r>
  </si>
  <si>
    <r>
      <rPr>
        <b/>
        <sz val="9"/>
        <color theme="2"/>
        <rFont val="字魂36号-正文宋楷"/>
        <family val="3"/>
        <charset val="134"/>
      </rPr>
      <t>硅</t>
    </r>
  </si>
  <si>
    <r>
      <rPr>
        <b/>
        <sz val="9"/>
        <color theme="2"/>
        <rFont val="字魂36号-正文宋楷"/>
        <family val="3"/>
        <charset val="134"/>
      </rPr>
      <t>铝</t>
    </r>
  </si>
  <si>
    <r>
      <rPr>
        <b/>
        <sz val="9"/>
        <color theme="2"/>
        <rFont val="字魂36号-正文宋楷"/>
        <family val="3"/>
        <charset val="134"/>
      </rPr>
      <t>磷</t>
    </r>
  </si>
  <si>
    <r>
      <rPr>
        <b/>
        <sz val="9"/>
        <color theme="2"/>
        <rFont val="字魂36号-正文宋楷"/>
        <family val="3"/>
        <charset val="134"/>
      </rPr>
      <t>硫</t>
    </r>
  </si>
  <si>
    <r>
      <rPr>
        <sz val="9"/>
        <color theme="1"/>
        <rFont val="字魂36号-正文宋楷"/>
        <family val="3"/>
        <charset val="134"/>
      </rPr>
      <t>单位变化</t>
    </r>
  </si>
  <si>
    <t>X=1.0</t>
  </si>
  <si>
    <t>X=1.5</t>
  </si>
  <si>
    <t>X=2.0</t>
  </si>
  <si>
    <r>
      <rPr>
        <b/>
        <sz val="9"/>
        <color theme="2"/>
        <rFont val="字魂36号-正文宋楷"/>
        <family val="3"/>
        <charset val="134"/>
      </rPr>
      <t>化学指标</t>
    </r>
  </si>
  <si>
    <r>
      <rPr>
        <b/>
        <sz val="9"/>
        <color theme="2"/>
        <rFont val="字魂36号-正文宋楷"/>
        <family val="3"/>
        <charset val="134"/>
      </rPr>
      <t>品质升贴水</t>
    </r>
  </si>
  <si>
    <r>
      <rPr>
        <b/>
        <sz val="9"/>
        <color theme="2"/>
        <rFont val="字魂36号-正文宋楷"/>
        <family val="3"/>
        <charset val="134"/>
      </rPr>
      <t>品牌升贴水</t>
    </r>
  </si>
  <si>
    <r>
      <rPr>
        <b/>
        <sz val="9"/>
        <color theme="2"/>
        <rFont val="字魂36号-正文宋楷"/>
        <family val="3"/>
        <charset val="134"/>
      </rPr>
      <t>现货价格</t>
    </r>
    <r>
      <rPr>
        <b/>
        <sz val="9"/>
        <color theme="2"/>
        <rFont val="CMU Sans Serif"/>
      </rPr>
      <t xml:space="preserve"> </t>
    </r>
  </si>
  <si>
    <r>
      <rPr>
        <b/>
        <sz val="9"/>
        <color theme="2"/>
        <rFont val="字魂36号-正文宋楷"/>
        <family val="3"/>
        <charset val="134"/>
      </rPr>
      <t>折厂库仓单</t>
    </r>
  </si>
  <si>
    <r>
      <rPr>
        <b/>
        <sz val="9"/>
        <color theme="2"/>
        <rFont val="字魂36号-正文宋楷"/>
        <family val="3"/>
        <charset val="134"/>
      </rPr>
      <t>品种</t>
    </r>
  </si>
  <si>
    <r>
      <rPr>
        <b/>
        <sz val="9"/>
        <color theme="2"/>
        <rFont val="字魂36号-正文宋楷"/>
        <family val="3"/>
        <charset val="134"/>
      </rPr>
      <t>水</t>
    </r>
  </si>
  <si>
    <t>X=1</t>
  </si>
  <si>
    <t>X=2</t>
  </si>
  <si>
    <t>PB粉</t>
  </si>
  <si>
    <t>纽曼粉</t>
  </si>
  <si>
    <t>麦克粉</t>
  </si>
  <si>
    <t>金布巴粉（60.5）</t>
  </si>
  <si>
    <t>罗伊山粉</t>
  </si>
  <si>
    <t>BRBF</t>
  </si>
  <si>
    <t>超特粉</t>
  </si>
  <si>
    <t>混合粉</t>
  </si>
  <si>
    <t>卡粉</t>
  </si>
  <si>
    <t>杨迪粉</t>
  </si>
  <si>
    <t>卡拉拉精粉</t>
  </si>
  <si>
    <t>金布巴粉（59.5）</t>
  </si>
  <si>
    <t>IOC6</t>
  </si>
  <si>
    <t>SP10粉</t>
  </si>
  <si>
    <t>新PB粉</t>
  </si>
  <si>
    <t>最优交割品</t>
    <phoneticPr fontId="0" type="Hiragana"/>
  </si>
  <si>
    <t>合计升贴水</t>
  </si>
  <si>
    <t>与超特粉的升贴水价差</t>
  </si>
  <si>
    <t>与超特粉的升贴水和现货价差</t>
  </si>
  <si>
    <t/>
  </si>
  <si>
    <t>金布巴粉</t>
  </si>
  <si>
    <t>卡拉拉粉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</si>
</sst>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00_ "/>
    <numFmt numFmtId="178" formatCode="0_ "/>
    <numFmt numFmtId="179" formatCode="0.00_);[Red]\(0.00\)"/>
    <numFmt numFmtId="180" formatCode="0.0_ "/>
  </numFmts>
  <fonts count="1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color theme="2"/>
      <name val="CMU Sans Serif"/>
    </font>
    <font>
      <sz val="9"/>
      <name val="等线"/>
      <family val="2"/>
      <charset val="134"/>
      <scheme val="minor"/>
    </font>
    <font>
      <b/>
      <sz val="9"/>
      <color theme="2"/>
      <name val="字魂36号-正文宋楷"/>
      <family val="3"/>
      <charset val="134"/>
    </font>
    <font>
      <sz val="9"/>
      <color theme="1"/>
      <name val="CMU Sans Serif"/>
    </font>
    <font>
      <sz val="9"/>
      <color theme="1"/>
      <name val="字魂36号-正文宋楷"/>
      <family val="3"/>
      <charset val="134"/>
    </font>
    <font>
      <b/>
      <sz val="9"/>
      <color theme="1"/>
      <name val="CMU Sans Serif"/>
    </font>
    <font>
      <sz val="9"/>
      <color rgb="FFFF0000"/>
      <name val="CMU Sans Serif"/>
    </font>
    <font>
      <b/>
      <sz val="9"/>
      <color theme="1"/>
      <name val="CMU Sans Serif"/>
      <family val="3"/>
      <charset val="134"/>
    </font>
    <font>
      <b/>
      <sz val="9"/>
      <color theme="1"/>
      <name val="字魂36号-正文宋楷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4A8A8"/>
      </left>
      <right style="medium">
        <color rgb="FFE4A8A8"/>
      </right>
      <top style="medium">
        <color rgb="FFE4A8A8"/>
      </top>
      <bottom style="medium">
        <color rgb="FFE4A8A8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9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5" fillId="4" borderId="0" xfId="1" applyFont="1" applyFill="1">
      <alignment vertical="center"/>
    </xf>
    <xf numFmtId="0" fontId="5" fillId="4" borderId="7" xfId="1" applyFont="1" applyFill="1" applyBorder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4" borderId="8" xfId="1" applyFont="1" applyFill="1" applyBorder="1" applyAlignment="1">
      <alignment horizontal="center" vertical="center"/>
    </xf>
    <xf numFmtId="0" fontId="5" fillId="4" borderId="9" xfId="1" applyFont="1" applyFill="1" applyBorder="1" applyAlignment="1">
      <alignment horizontal="center" vertical="center"/>
    </xf>
    <xf numFmtId="0" fontId="5" fillId="4" borderId="10" xfId="1" applyFont="1" applyFill="1" applyBorder="1" applyAlignment="1">
      <alignment horizontal="center" vertical="center"/>
    </xf>
    <xf numFmtId="0" fontId="5" fillId="4" borderId="11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  <xf numFmtId="0" fontId="5" fillId="4" borderId="14" xfId="1" applyFont="1" applyFill="1" applyBorder="1" applyAlignment="1">
      <alignment horizontal="center" vertical="center"/>
    </xf>
    <xf numFmtId="0" fontId="5" fillId="4" borderId="15" xfId="1" applyFont="1" applyFill="1" applyBorder="1" applyAlignment="1">
      <alignment horizontal="center" vertical="center"/>
    </xf>
    <xf numFmtId="0" fontId="5" fillId="4" borderId="16" xfId="1" applyFont="1" applyFill="1" applyBorder="1" applyAlignment="1">
      <alignment horizontal="center" vertical="center"/>
    </xf>
    <xf numFmtId="0" fontId="5" fillId="4" borderId="17" xfId="1" applyFont="1" applyFill="1" applyBorder="1" applyAlignment="1">
      <alignment horizontal="center" vertical="center"/>
    </xf>
    <xf numFmtId="0" fontId="5" fillId="4" borderId="18" xfId="1" applyFont="1" applyFill="1" applyBorder="1" applyAlignment="1">
      <alignment horizontal="center" vertical="center"/>
    </xf>
    <xf numFmtId="0" fontId="5" fillId="4" borderId="19" xfId="1" applyFont="1" applyFill="1" applyBorder="1" applyAlignment="1">
      <alignment horizontal="center" vertical="center"/>
    </xf>
    <xf numFmtId="0" fontId="5" fillId="4" borderId="20" xfId="1" applyFont="1" applyFill="1" applyBorder="1" applyAlignment="1">
      <alignment horizontal="center" vertical="center"/>
    </xf>
    <xf numFmtId="0" fontId="2" fillId="5" borderId="21" xfId="1" applyFont="1" applyFill="1" applyBorder="1" applyAlignment="1">
      <alignment horizontal="center" vertical="center"/>
    </xf>
    <xf numFmtId="0" fontId="2" fillId="6" borderId="8" xfId="1" applyFont="1" applyFill="1" applyBorder="1" applyAlignment="1">
      <alignment horizontal="center" vertical="center"/>
    </xf>
    <xf numFmtId="0" fontId="2" fillId="6" borderId="22" xfId="1" applyFont="1" applyFill="1" applyBorder="1" applyAlignment="1">
      <alignment horizontal="center" vertical="center"/>
    </xf>
    <xf numFmtId="0" fontId="2" fillId="6" borderId="9" xfId="1" applyFont="1" applyFill="1" applyBorder="1" applyAlignment="1">
      <alignment horizontal="center" vertical="center"/>
    </xf>
    <xf numFmtId="0" fontId="2" fillId="5" borderId="8" xfId="1" applyFont="1" applyFill="1" applyBorder="1" applyAlignment="1">
      <alignment horizontal="center" vertical="center"/>
    </xf>
    <xf numFmtId="0" fontId="2" fillId="5" borderId="22" xfId="1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2" fillId="6" borderId="9" xfId="1" applyFont="1" applyFill="1" applyBorder="1" applyAlignment="1">
      <alignment horizontal="center" vertical="center" wrapText="1"/>
    </xf>
    <xf numFmtId="0" fontId="2" fillId="6" borderId="23" xfId="1" applyFont="1" applyFill="1" applyBorder="1" applyAlignment="1">
      <alignment horizontal="center" vertical="center"/>
    </xf>
    <xf numFmtId="0" fontId="2" fillId="5" borderId="24" xfId="1" applyFont="1" applyFill="1" applyBorder="1" applyAlignment="1">
      <alignment horizontal="center" vertical="center"/>
    </xf>
    <xf numFmtId="0" fontId="2" fillId="6" borderId="15" xfId="1" applyFont="1" applyFill="1" applyBorder="1" applyAlignment="1">
      <alignment horizontal="center" vertical="center"/>
    </xf>
    <xf numFmtId="0" fontId="2" fillId="6" borderId="25" xfId="1" applyFont="1" applyFill="1" applyBorder="1" applyAlignment="1">
      <alignment horizontal="center" vertical="center"/>
    </xf>
    <xf numFmtId="0" fontId="2" fillId="6" borderId="16" xfId="1" applyFont="1" applyFill="1" applyBorder="1" applyAlignment="1">
      <alignment horizontal="center" vertical="center"/>
    </xf>
    <xf numFmtId="0" fontId="2" fillId="5" borderId="15" xfId="1" applyFont="1" applyFill="1" applyBorder="1" applyAlignment="1">
      <alignment horizontal="center" vertical="center"/>
    </xf>
    <xf numFmtId="0" fontId="2" fillId="5" borderId="25" xfId="1" applyFont="1" applyFill="1" applyBorder="1" applyAlignment="1">
      <alignment horizontal="center" vertical="center"/>
    </xf>
    <xf numFmtId="0" fontId="2" fillId="5" borderId="25" xfId="1" applyFont="1" applyFill="1" applyBorder="1" applyAlignment="1">
      <alignment horizontal="center" vertical="center"/>
    </xf>
    <xf numFmtId="0" fontId="2" fillId="5" borderId="16" xfId="1" applyFont="1" applyFill="1" applyBorder="1" applyAlignment="1">
      <alignment horizontal="center" vertical="center"/>
    </xf>
    <xf numFmtId="0" fontId="2" fillId="6" borderId="16" xfId="1" applyFont="1" applyFill="1" applyBorder="1" applyAlignment="1">
      <alignment horizontal="center" vertical="center" wrapText="1"/>
    </xf>
    <xf numFmtId="0" fontId="2" fillId="6" borderId="16" xfId="1" applyFont="1" applyFill="1" applyBorder="1" applyAlignment="1">
      <alignment horizontal="center" vertical="center"/>
    </xf>
    <xf numFmtId="0" fontId="2" fillId="6" borderId="26" xfId="1" applyFont="1" applyFill="1" applyBorder="1" applyAlignment="1">
      <alignment horizontal="center" vertical="center"/>
    </xf>
    <xf numFmtId="0" fontId="7" fillId="4" borderId="5" xfId="1" applyFont="1" applyFill="1" applyBorder="1" applyAlignment="1">
      <alignment horizontal="center" vertical="center"/>
    </xf>
    <xf numFmtId="176" fontId="7" fillId="4" borderId="27" xfId="1" applyNumberFormat="1" applyFont="1" applyFill="1" applyBorder="1" applyAlignment="1">
      <alignment horizontal="center" vertical="center"/>
    </xf>
    <xf numFmtId="176" fontId="5" fillId="4" borderId="22" xfId="1" applyNumberFormat="1" applyFont="1" applyFill="1" applyBorder="1" applyAlignment="1">
      <alignment horizontal="center" vertical="center"/>
    </xf>
    <xf numFmtId="177" fontId="5" fillId="4" borderId="22" xfId="1" applyNumberFormat="1" applyFont="1" applyFill="1" applyBorder="1" applyAlignment="1">
      <alignment horizontal="center" vertical="center"/>
    </xf>
    <xf numFmtId="176" fontId="7" fillId="4" borderId="22" xfId="1" applyNumberFormat="1" applyFont="1" applyFill="1" applyBorder="1" applyAlignment="1">
      <alignment horizontal="center" vertical="center"/>
    </xf>
    <xf numFmtId="176" fontId="5" fillId="4" borderId="11" xfId="1" applyNumberFormat="1" applyFont="1" applyFill="1" applyBorder="1" applyAlignment="1">
      <alignment horizontal="center" vertical="center"/>
    </xf>
    <xf numFmtId="176" fontId="5" fillId="4" borderId="0" xfId="1" applyNumberFormat="1" applyFont="1" applyFill="1" applyAlignment="1">
      <alignment horizontal="center" vertical="center"/>
    </xf>
    <xf numFmtId="176" fontId="5" fillId="4" borderId="6" xfId="1" applyNumberFormat="1" applyFont="1" applyFill="1" applyBorder="1" applyAlignment="1">
      <alignment horizontal="center" vertical="center"/>
    </xf>
    <xf numFmtId="178" fontId="7" fillId="4" borderId="12" xfId="1" applyNumberFormat="1" applyFont="1" applyFill="1" applyBorder="1" applyAlignment="1">
      <alignment horizontal="center" vertical="center"/>
    </xf>
    <xf numFmtId="1" fontId="5" fillId="4" borderId="0" xfId="1" applyNumberFormat="1" applyFont="1" applyFill="1" applyAlignment="1">
      <alignment horizontal="center" vertical="center"/>
    </xf>
    <xf numFmtId="178" fontId="5" fillId="4" borderId="0" xfId="1" applyNumberFormat="1" applyFont="1" applyFill="1" applyAlignment="1">
      <alignment horizontal="center" vertical="center"/>
    </xf>
    <xf numFmtId="1" fontId="5" fillId="4" borderId="28" xfId="1" applyNumberFormat="1" applyFont="1" applyFill="1" applyBorder="1" applyAlignment="1">
      <alignment horizontal="center" vertical="center"/>
    </xf>
    <xf numFmtId="176" fontId="7" fillId="4" borderId="5" xfId="1" applyNumberFormat="1" applyFont="1" applyFill="1" applyBorder="1" applyAlignment="1">
      <alignment horizontal="center" vertical="center"/>
    </xf>
    <xf numFmtId="177" fontId="5" fillId="4" borderId="0" xfId="1" applyNumberFormat="1" applyFont="1" applyFill="1" applyAlignment="1">
      <alignment horizontal="center" vertical="center"/>
    </xf>
    <xf numFmtId="176" fontId="7" fillId="4" borderId="0" xfId="1" applyNumberFormat="1" applyFont="1" applyFill="1" applyAlignment="1">
      <alignment horizontal="center" vertical="center"/>
    </xf>
    <xf numFmtId="0" fontId="5" fillId="0" borderId="0" xfId="1" applyFont="1">
      <alignment vertical="center"/>
    </xf>
    <xf numFmtId="176" fontId="8" fillId="4" borderId="0" xfId="1" applyNumberFormat="1" applyFont="1" applyFill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176" fontId="7" fillId="7" borderId="5" xfId="1" applyNumberFormat="1" applyFont="1" applyFill="1" applyBorder="1" applyAlignment="1">
      <alignment horizontal="center" vertical="center"/>
    </xf>
    <xf numFmtId="176" fontId="5" fillId="7" borderId="0" xfId="1" applyNumberFormat="1" applyFont="1" applyFill="1" applyAlignment="1">
      <alignment horizontal="center" vertical="center"/>
    </xf>
    <xf numFmtId="177" fontId="5" fillId="7" borderId="0" xfId="1" applyNumberFormat="1" applyFont="1" applyFill="1" applyAlignment="1">
      <alignment horizontal="center" vertical="center"/>
    </xf>
    <xf numFmtId="176" fontId="7" fillId="7" borderId="0" xfId="1" applyNumberFormat="1" applyFont="1" applyFill="1" applyAlignment="1">
      <alignment horizontal="center" vertical="center"/>
    </xf>
    <xf numFmtId="176" fontId="5" fillId="7" borderId="11" xfId="1" applyNumberFormat="1" applyFont="1" applyFill="1" applyBorder="1" applyAlignment="1">
      <alignment horizontal="center" vertical="center"/>
    </xf>
    <xf numFmtId="176" fontId="5" fillId="7" borderId="6" xfId="1" applyNumberFormat="1" applyFont="1" applyFill="1" applyBorder="1" applyAlignment="1">
      <alignment horizontal="center" vertical="center"/>
    </xf>
    <xf numFmtId="178" fontId="7" fillId="7" borderId="12" xfId="1" applyNumberFormat="1" applyFont="1" applyFill="1" applyBorder="1" applyAlignment="1">
      <alignment horizontal="center" vertical="center"/>
    </xf>
    <xf numFmtId="0" fontId="5" fillId="7" borderId="6" xfId="1" applyFont="1" applyFill="1" applyBorder="1" applyAlignment="1">
      <alignment horizontal="center" vertical="center"/>
    </xf>
    <xf numFmtId="1" fontId="5" fillId="7" borderId="0" xfId="1" applyNumberFormat="1" applyFont="1" applyFill="1" applyAlignment="1">
      <alignment horizontal="center" vertical="center"/>
    </xf>
    <xf numFmtId="178" fontId="5" fillId="7" borderId="0" xfId="1" applyNumberFormat="1" applyFont="1" applyFill="1" applyAlignment="1">
      <alignment horizontal="center" vertical="center"/>
    </xf>
    <xf numFmtId="1" fontId="5" fillId="7" borderId="28" xfId="1" applyNumberFormat="1" applyFont="1" applyFill="1" applyBorder="1" applyAlignment="1">
      <alignment horizontal="center" vertical="center"/>
    </xf>
    <xf numFmtId="1" fontId="5" fillId="4" borderId="0" xfId="1" applyNumberFormat="1" applyFont="1" applyFill="1">
      <alignment vertical="center"/>
    </xf>
    <xf numFmtId="179" fontId="7" fillId="4" borderId="5" xfId="1" applyNumberFormat="1" applyFont="1" applyFill="1" applyBorder="1" applyAlignment="1">
      <alignment horizontal="center" vertical="center"/>
    </xf>
    <xf numFmtId="179" fontId="9" fillId="4" borderId="7" xfId="1" applyNumberFormat="1" applyFont="1" applyFill="1" applyBorder="1" applyAlignment="1">
      <alignment horizontal="center" vertical="center"/>
    </xf>
    <xf numFmtId="176" fontId="7" fillId="8" borderId="5" xfId="1" applyNumberFormat="1" applyFont="1" applyFill="1" applyBorder="1" applyAlignment="1">
      <alignment horizontal="center" vertical="center"/>
    </xf>
    <xf numFmtId="176" fontId="5" fillId="8" borderId="0" xfId="1" applyNumberFormat="1" applyFont="1" applyFill="1" applyAlignment="1">
      <alignment horizontal="center" vertical="center"/>
    </xf>
    <xf numFmtId="177" fontId="5" fillId="8" borderId="0" xfId="1" applyNumberFormat="1" applyFont="1" applyFill="1" applyAlignment="1">
      <alignment horizontal="center" vertical="center"/>
    </xf>
    <xf numFmtId="176" fontId="7" fillId="8" borderId="0" xfId="1" applyNumberFormat="1" applyFont="1" applyFill="1" applyAlignment="1">
      <alignment horizontal="center" vertical="center"/>
    </xf>
    <xf numFmtId="179" fontId="7" fillId="4" borderId="29" xfId="1" applyNumberFormat="1" applyFont="1" applyFill="1" applyBorder="1" applyAlignment="1">
      <alignment horizontal="center" vertical="center"/>
    </xf>
    <xf numFmtId="176" fontId="7" fillId="4" borderId="29" xfId="1" applyNumberFormat="1" applyFont="1" applyFill="1" applyBorder="1" applyAlignment="1">
      <alignment horizontal="center" vertical="center"/>
    </xf>
    <xf numFmtId="176" fontId="5" fillId="4" borderId="30" xfId="1" applyNumberFormat="1" applyFont="1" applyFill="1" applyBorder="1" applyAlignment="1">
      <alignment horizontal="center" vertical="center"/>
    </xf>
    <xf numFmtId="177" fontId="5" fillId="4" borderId="30" xfId="1" applyNumberFormat="1" applyFont="1" applyFill="1" applyBorder="1" applyAlignment="1">
      <alignment horizontal="center" vertical="center"/>
    </xf>
    <xf numFmtId="176" fontId="7" fillId="4" borderId="30" xfId="1" applyNumberFormat="1" applyFont="1" applyFill="1" applyBorder="1" applyAlignment="1">
      <alignment horizontal="center" vertical="center"/>
    </xf>
    <xf numFmtId="176" fontId="5" fillId="4" borderId="18" xfId="1" applyNumberFormat="1" applyFont="1" applyFill="1" applyBorder="1" applyAlignment="1">
      <alignment horizontal="center" vertical="center"/>
    </xf>
    <xf numFmtId="176" fontId="5" fillId="4" borderId="19" xfId="1" applyNumberFormat="1" applyFont="1" applyFill="1" applyBorder="1" applyAlignment="1">
      <alignment horizontal="center" vertical="center"/>
    </xf>
    <xf numFmtId="178" fontId="7" fillId="4" borderId="20" xfId="1" applyNumberFormat="1" applyFont="1" applyFill="1" applyBorder="1" applyAlignment="1">
      <alignment horizontal="center" vertical="center"/>
    </xf>
    <xf numFmtId="1" fontId="5" fillId="4" borderId="30" xfId="1" applyNumberFormat="1" applyFont="1" applyFill="1" applyBorder="1" applyAlignment="1">
      <alignment horizontal="center" vertical="center"/>
    </xf>
    <xf numFmtId="178" fontId="5" fillId="4" borderId="30" xfId="1" applyNumberFormat="1" applyFont="1" applyFill="1" applyBorder="1" applyAlignment="1">
      <alignment horizontal="center" vertical="center"/>
    </xf>
    <xf numFmtId="1" fontId="5" fillId="4" borderId="31" xfId="1" applyNumberFormat="1" applyFont="1" applyFill="1" applyBorder="1" applyAlignment="1">
      <alignment horizontal="center" vertical="center"/>
    </xf>
    <xf numFmtId="176" fontId="7" fillId="4" borderId="6" xfId="1" applyNumberFormat="1" applyFont="1" applyFill="1" applyBorder="1" applyAlignment="1">
      <alignment horizontal="center" vertical="center"/>
    </xf>
    <xf numFmtId="176" fontId="10" fillId="4" borderId="12" xfId="1" applyNumberFormat="1" applyFont="1" applyFill="1" applyBorder="1" applyAlignment="1">
      <alignment horizontal="center" vertical="center"/>
    </xf>
    <xf numFmtId="176" fontId="7" fillId="4" borderId="17" xfId="1" applyNumberFormat="1" applyFont="1" applyFill="1" applyBorder="1" applyAlignment="1">
      <alignment horizontal="center" vertical="center"/>
    </xf>
    <xf numFmtId="1" fontId="5" fillId="4" borderId="15" xfId="1" applyNumberFormat="1" applyFont="1" applyFill="1" applyBorder="1" applyAlignment="1">
      <alignment horizontal="center" vertical="center"/>
    </xf>
    <xf numFmtId="1" fontId="5" fillId="4" borderId="25" xfId="1" applyNumberFormat="1" applyFont="1" applyFill="1" applyBorder="1" applyAlignment="1">
      <alignment horizontal="center" vertical="center"/>
    </xf>
    <xf numFmtId="1" fontId="5" fillId="4" borderId="16" xfId="1" applyNumberFormat="1" applyFont="1" applyFill="1" applyBorder="1" applyAlignment="1">
      <alignment horizontal="center" vertical="center"/>
    </xf>
    <xf numFmtId="0" fontId="7" fillId="4" borderId="32" xfId="1" applyFont="1" applyFill="1" applyBorder="1" applyAlignment="1">
      <alignment horizontal="center" vertical="center"/>
    </xf>
    <xf numFmtId="0" fontId="7" fillId="4" borderId="33" xfId="1" applyFont="1" applyFill="1" applyBorder="1" applyAlignment="1">
      <alignment horizontal="center" vertical="center"/>
    </xf>
    <xf numFmtId="0" fontId="7" fillId="4" borderId="34" xfId="1" applyFont="1" applyFill="1" applyBorder="1" applyAlignment="1">
      <alignment horizontal="center" vertical="center"/>
    </xf>
    <xf numFmtId="0" fontId="5" fillId="4" borderId="35" xfId="1" applyFont="1" applyFill="1" applyBorder="1" applyAlignment="1">
      <alignment horizontal="center" vertical="center"/>
    </xf>
    <xf numFmtId="0" fontId="7" fillId="4" borderId="35" xfId="1" applyFont="1" applyFill="1" applyBorder="1" applyAlignment="1">
      <alignment horizontal="center" vertical="center"/>
    </xf>
    <xf numFmtId="180" fontId="5" fillId="4" borderId="0" xfId="1" applyNumberFormat="1" applyFont="1" applyFill="1">
      <alignment vertical="center"/>
    </xf>
    <xf numFmtId="180" fontId="5" fillId="4" borderId="35" xfId="1" applyNumberFormat="1" applyFont="1" applyFill="1" applyBorder="1" applyAlignment="1">
      <alignment horizontal="center" vertical="center"/>
    </xf>
    <xf numFmtId="180" fontId="8" fillId="4" borderId="35" xfId="1" applyNumberFormat="1" applyFont="1" applyFill="1" applyBorder="1" applyAlignment="1">
      <alignment horizontal="center" vertical="center"/>
    </xf>
    <xf numFmtId="0" fontId="5" fillId="4" borderId="36" xfId="1" applyFont="1" applyFill="1" applyBorder="1">
      <alignment vertical="center"/>
    </xf>
    <xf numFmtId="179" fontId="7" fillId="4" borderId="35" xfId="1" applyNumberFormat="1" applyFont="1" applyFill="1" applyBorder="1" applyAlignment="1">
      <alignment horizontal="center" vertical="center"/>
    </xf>
  </cellXfs>
  <cellStyles count="2">
    <cellStyle name="常规" xfId="0" builtinId="0"/>
    <cellStyle name="常规 10 5 3 2" xfId="1" xr:uid="{46322C1A-285C-44A4-B5C9-9AA1F3A949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C00D-4084-4E85-BFD9-7B53B25D6010}">
  <dimension ref="A1:CC608"/>
  <sheetViews>
    <sheetView tabSelected="1" workbookViewId="0">
      <selection activeCell="I33" sqref="I33"/>
    </sheetView>
  </sheetViews>
  <sheetFormatPr defaultRowHeight="13.8"/>
  <cols>
    <col min="4" max="4" width="13.77734375" bestFit="1" customWidth="1"/>
  </cols>
  <sheetData>
    <row r="1" spans="1:81" ht="14.4" thickBot="1">
      <c r="A1" s="1" t="s">
        <v>0</v>
      </c>
      <c r="B1" s="1">
        <v>1</v>
      </c>
      <c r="D1" s="2" t="s">
        <v>1</v>
      </c>
      <c r="E1" s="3" t="s">
        <v>2</v>
      </c>
      <c r="F1" s="4"/>
      <c r="G1" s="4"/>
      <c r="H1" s="5"/>
      <c r="I1" s="3" t="s">
        <v>3</v>
      </c>
      <c r="J1" s="4"/>
      <c r="K1" s="5"/>
      <c r="L1" s="3" t="s">
        <v>4</v>
      </c>
      <c r="M1" s="5"/>
      <c r="N1" s="3" t="s">
        <v>5</v>
      </c>
      <c r="O1" s="5"/>
      <c r="P1" s="6" t="s">
        <v>6</v>
      </c>
      <c r="Q1" s="7"/>
      <c r="AS1" s="8"/>
      <c r="AT1" s="8"/>
      <c r="AU1" s="8"/>
      <c r="AV1" s="8"/>
      <c r="AW1" s="8"/>
      <c r="AX1" s="8"/>
    </row>
    <row r="2" spans="1:81">
      <c r="B2" s="1">
        <v>1.5</v>
      </c>
      <c r="D2" s="9"/>
      <c r="E2" s="10">
        <v>60</v>
      </c>
      <c r="F2" s="11">
        <v>61</v>
      </c>
      <c r="G2" s="12"/>
      <c r="H2" s="13">
        <v>63.5</v>
      </c>
      <c r="I2" s="11">
        <v>4.5</v>
      </c>
      <c r="J2" s="12"/>
      <c r="K2" s="12">
        <v>6.5</v>
      </c>
      <c r="L2" s="11">
        <v>2.5</v>
      </c>
      <c r="M2" s="12"/>
      <c r="N2" s="11">
        <v>0.1</v>
      </c>
      <c r="O2" s="12">
        <v>0.12</v>
      </c>
      <c r="P2" s="11">
        <v>0.03</v>
      </c>
      <c r="Q2" s="12">
        <v>0.1</v>
      </c>
      <c r="AS2" s="8"/>
      <c r="AT2" s="8"/>
      <c r="AU2" s="8"/>
      <c r="AV2" s="8"/>
      <c r="AW2" s="8"/>
      <c r="AX2" s="8"/>
    </row>
    <row r="3" spans="1:81">
      <c r="B3" s="1">
        <v>2</v>
      </c>
      <c r="D3" s="9" t="s">
        <v>7</v>
      </c>
      <c r="E3" s="10">
        <v>-0.1</v>
      </c>
      <c r="F3" s="14">
        <v>-0.1</v>
      </c>
      <c r="G3" s="15">
        <v>0.1</v>
      </c>
      <c r="H3" s="16">
        <v>0.1</v>
      </c>
      <c r="I3" s="14">
        <v>-0.1</v>
      </c>
      <c r="J3" s="15">
        <v>0.1</v>
      </c>
      <c r="K3" s="16">
        <v>0.1</v>
      </c>
      <c r="L3" s="14">
        <v>-0.1</v>
      </c>
      <c r="M3" s="15">
        <v>0.1</v>
      </c>
      <c r="N3" s="14">
        <v>0.01</v>
      </c>
      <c r="O3" s="15">
        <v>0.01</v>
      </c>
      <c r="P3" s="14">
        <v>0.01</v>
      </c>
      <c r="Q3" s="15">
        <v>0.01</v>
      </c>
      <c r="AS3" s="8"/>
      <c r="AT3" s="8"/>
      <c r="AU3" s="8"/>
      <c r="AV3" s="8"/>
      <c r="AW3" s="8"/>
      <c r="AX3" s="8"/>
    </row>
    <row r="4" spans="1:81">
      <c r="D4" s="9" t="s">
        <v>8</v>
      </c>
      <c r="E4" s="17">
        <f>-(B1+1.5)</f>
        <v>-2.5</v>
      </c>
      <c r="F4" s="14">
        <f>-B1</f>
        <v>-1</v>
      </c>
      <c r="G4" s="15">
        <f>B1</f>
        <v>1</v>
      </c>
      <c r="H4" s="16">
        <f>(B1+1)</f>
        <v>2</v>
      </c>
      <c r="I4" s="14">
        <v>0.5</v>
      </c>
      <c r="J4" s="15">
        <v>-1</v>
      </c>
      <c r="K4" s="16">
        <v>-1.5</v>
      </c>
      <c r="L4" s="14">
        <v>2</v>
      </c>
      <c r="M4" s="15">
        <v>-3</v>
      </c>
      <c r="N4" s="14">
        <v>-10</v>
      </c>
      <c r="O4" s="15">
        <v>-15</v>
      </c>
      <c r="P4" s="14">
        <v>-1</v>
      </c>
      <c r="Q4" s="15">
        <v>-5</v>
      </c>
      <c r="AS4" s="8"/>
      <c r="AT4" s="8"/>
      <c r="AU4" s="8"/>
      <c r="AV4" s="8"/>
      <c r="AW4" s="8"/>
      <c r="AX4" s="8"/>
    </row>
    <row r="5" spans="1:81">
      <c r="D5" s="9" t="s">
        <v>9</v>
      </c>
      <c r="E5" s="17">
        <f>-(B2+1.5)</f>
        <v>-3</v>
      </c>
      <c r="F5" s="14">
        <f>-B2</f>
        <v>-1.5</v>
      </c>
      <c r="G5" s="15">
        <f>B2</f>
        <v>1.5</v>
      </c>
      <c r="H5" s="16">
        <f>(B2+1)</f>
        <v>2.5</v>
      </c>
      <c r="I5" s="14"/>
      <c r="J5" s="15"/>
      <c r="K5" s="16"/>
      <c r="L5" s="14"/>
      <c r="M5" s="15"/>
      <c r="N5" s="14"/>
      <c r="O5" s="15"/>
      <c r="P5" s="14"/>
      <c r="Q5" s="15"/>
      <c r="AS5" s="8"/>
      <c r="AT5" s="8"/>
      <c r="AU5" s="8"/>
      <c r="AV5" s="8"/>
    </row>
    <row r="6" spans="1:81" ht="14.4" thickBot="1">
      <c r="D6" s="18" t="s">
        <v>10</v>
      </c>
      <c r="E6" s="19">
        <f>-(B3+1.5)</f>
        <v>-3.5</v>
      </c>
      <c r="F6" s="20">
        <f>-B3</f>
        <v>-2</v>
      </c>
      <c r="G6" s="21">
        <f>B3</f>
        <v>2</v>
      </c>
      <c r="H6" s="22">
        <f>(B3+1)</f>
        <v>3</v>
      </c>
      <c r="I6" s="23"/>
      <c r="J6" s="24"/>
      <c r="K6" s="25"/>
      <c r="L6" s="23"/>
      <c r="M6" s="24"/>
      <c r="N6" s="23"/>
      <c r="O6" s="24"/>
      <c r="P6" s="23"/>
      <c r="Q6" s="24"/>
      <c r="AS6" s="8"/>
      <c r="AT6" s="8"/>
      <c r="AU6" s="8"/>
      <c r="AV6" s="8"/>
    </row>
    <row r="7" spans="1:81"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81" ht="14.4" thickBot="1"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81">
      <c r="D9" s="26"/>
      <c r="E9" s="27" t="s">
        <v>11</v>
      </c>
      <c r="F9" s="28"/>
      <c r="G9" s="28"/>
      <c r="H9" s="28"/>
      <c r="I9" s="28"/>
      <c r="J9" s="29"/>
      <c r="K9" s="30" t="s">
        <v>2</v>
      </c>
      <c r="L9" s="31"/>
      <c r="M9" s="31"/>
      <c r="N9" s="31" t="s">
        <v>3</v>
      </c>
      <c r="O9" s="31" t="s">
        <v>4</v>
      </c>
      <c r="P9" s="31" t="s">
        <v>5</v>
      </c>
      <c r="Q9" s="32" t="s">
        <v>6</v>
      </c>
      <c r="R9" s="30" t="s">
        <v>12</v>
      </c>
      <c r="S9" s="31"/>
      <c r="T9" s="32"/>
      <c r="U9" s="33" t="s">
        <v>13</v>
      </c>
      <c r="V9" s="29" t="s">
        <v>14</v>
      </c>
      <c r="W9" s="34" t="s">
        <v>15</v>
      </c>
      <c r="X9" s="34"/>
      <c r="Y9" s="34"/>
      <c r="AS9" s="8"/>
      <c r="AT9" s="8"/>
      <c r="AU9" s="8"/>
      <c r="AV9" s="8"/>
    </row>
    <row r="10" spans="1:81" ht="14.4" thickBot="1">
      <c r="D10" s="35" t="s">
        <v>16</v>
      </c>
      <c r="E10" s="36" t="s">
        <v>2</v>
      </c>
      <c r="F10" s="37" t="s">
        <v>3</v>
      </c>
      <c r="G10" s="37" t="s">
        <v>4</v>
      </c>
      <c r="H10" s="37" t="s">
        <v>5</v>
      </c>
      <c r="I10" s="37" t="s">
        <v>6</v>
      </c>
      <c r="J10" s="38" t="s">
        <v>17</v>
      </c>
      <c r="K10" s="39" t="s">
        <v>8</v>
      </c>
      <c r="L10" s="40" t="s">
        <v>9</v>
      </c>
      <c r="M10" s="40" t="s">
        <v>10</v>
      </c>
      <c r="N10" s="41"/>
      <c r="O10" s="41"/>
      <c r="P10" s="41"/>
      <c r="Q10" s="41"/>
      <c r="R10" s="39" t="s">
        <v>18</v>
      </c>
      <c r="S10" s="40" t="s">
        <v>9</v>
      </c>
      <c r="T10" s="42" t="s">
        <v>19</v>
      </c>
      <c r="U10" s="43"/>
      <c r="V10" s="44"/>
      <c r="W10" s="37" t="s">
        <v>18</v>
      </c>
      <c r="X10" s="37" t="s">
        <v>9</v>
      </c>
      <c r="Y10" s="45" t="s">
        <v>19</v>
      </c>
      <c r="AS10" s="8"/>
      <c r="AT10" s="8"/>
      <c r="AU10" s="8"/>
      <c r="AV10" s="8"/>
    </row>
    <row r="11" spans="1:81" ht="14.4" thickTop="1">
      <c r="D11" s="46" t="s">
        <v>21</v>
      </c>
      <c r="E11" s="58">
        <v>61.2</v>
      </c>
      <c r="F11" s="52">
        <v>5</v>
      </c>
      <c r="G11" s="52">
        <v>2.6</v>
      </c>
      <c r="H11" s="59">
        <v>9.8000000000000004E-2</v>
      </c>
      <c r="I11" s="59">
        <v>0.02</v>
      </c>
      <c r="J11" s="60">
        <v>8.3000000000000007</v>
      </c>
      <c r="K11" s="51">
        <f t="array" ref="K11">_xlfn.IFS(E11&lt;$E$2,($E$2-E11)/0.1*$E$4+($F$2-$E$2)/0.1*$F$4,E11&gt;$H$2,(E11-$H$2)/0.1*$H$4+($H$2-$F$2)/0.1*$G$4,AND(E11&gt;=$F$2,E11&lt;=$H$2),ABS((E11-$F$2)/0.1*$G$4),AND(E11&lt;$F$2,E11&gt;=$E$2),-ABS((E11-$F$2)/0.1*$G$4))</f>
        <v>2.0000000000000284</v>
      </c>
      <c r="L11" s="52">
        <f t="array" ref="L11">_xlfn.IFS(E11&lt;$E$2,($E$2-E11)/0.1*$E$5+($F$2-$E$2)/0.1*$F$5,E11&gt;$H$2,(E11-$H$2)/0.1*$H$5+($H$2-$F$2)/0.1*$G$5,AND(E11&gt;=$F$2,E11&lt;=$H$2),ABS((E11-$F$2)/0.1*$G$5),AND(E11&lt;$F$2,E11&gt;=$E$2),-ABS((E11-$F$2)/0.1*$G$5))</f>
        <v>3.0000000000000426</v>
      </c>
      <c r="M11" s="52">
        <f t="array" ref="M11">_xlfn.IFS(E11&lt;$E$2,($E$2-E11)/0.1*$E$6+($F$2-$E$2)/0.1*$F$6,E11&gt;$H$2,(E11-$H$2)/0.1*$H$6+($H$2-$F$2)/0.1*$G$6,AND(E11&gt;=$F$2,E11&lt;=$H$2),ABS((E11-$F$2)/0.1*$G$6),AND(E11&lt;$F$2,E11&gt;=$E$2),-ABS((E11-$F$2)/0.1*$G$6))</f>
        <v>4.0000000000000568</v>
      </c>
      <c r="N11" s="52">
        <f t="array" ref="N11">_xlfn.IFS(F11&lt;$I$2,($I$2-F11)/0.1*$I$4,AND(F11&gt;$I$2,F11&lt;=$K$2),(F11-$I$2)/0.1*$J$4,F11&gt;$K$2,(F11-$K$2)/0.1*$K$4+($K$2-$I$2)/0.1*$J$4)</f>
        <v>-5</v>
      </c>
      <c r="O11" s="52">
        <f t="array" ref="O11">_xlfn.IFS(AND(G11&lt;$L$2,G11&gt;=1),($L$2-G11)/0.1*$L$4,G11&lt;1,($L$2-1)/0.1*$L$4,G11&gt;$L$2,(G11-$L$2)/0.1*$M$4)</f>
        <v>-3.0000000000000027</v>
      </c>
      <c r="P11" s="52">
        <f t="array" ref="P11">_xlfn.IFS(AND(H11&lt;=$O$2,H11&gt;$N$2),(H11-$N$2)/0.01*$N$4,H11&lt;=$N$2,0,H11&gt;$O$2,(H11-$O$2)/0.01*$O$4+($O$2-$N$2)/0.01*$N$4)</f>
        <v>0</v>
      </c>
      <c r="Q11" s="52">
        <f t="array" ref="Q11">_xlfn.IFS(AND(I11&lt;=$Q$2,I11&gt;$P$2),(I11-$P$2)/0.01*$P$4,I11&lt;=$P$2,0,I11&gt;$Q$2,(I11-$Q$2)/0.01*$Q$4+($Q$2-$P$2)/0.01*$P$4)</f>
        <v>0</v>
      </c>
      <c r="R11" s="51">
        <f>SUM(K11,$N11:$Q11)</f>
        <v>-5.9999999999999742</v>
      </c>
      <c r="S11" s="52">
        <f t="shared" ref="S11:T25" si="0">SUM(L11,$N11:$Q11)</f>
        <v>-4.99999999999996</v>
      </c>
      <c r="T11" s="53">
        <f t="shared" si="0"/>
        <v>-3.9999999999999458</v>
      </c>
      <c r="U11" s="54">
        <v>0</v>
      </c>
      <c r="V11" s="15">
        <v>755</v>
      </c>
      <c r="W11" s="55">
        <f t="shared" ref="W11:Y18" si="1">$V11/(1-$J11%)-R11-$U11-8</f>
        <v>821.33696837513628</v>
      </c>
      <c r="X11" s="56">
        <f t="shared" si="1"/>
        <v>820.33696837513628</v>
      </c>
      <c r="Y11" s="57">
        <f t="shared" si="1"/>
        <v>819.33696837513628</v>
      </c>
      <c r="AS11" s="8"/>
      <c r="AT11" s="8"/>
      <c r="AU11" s="8"/>
      <c r="AV11" s="8"/>
    </row>
    <row r="12" spans="1:81">
      <c r="A12" s="10"/>
      <c r="B12" s="10"/>
      <c r="D12" s="46" t="s">
        <v>22</v>
      </c>
      <c r="E12" s="58">
        <v>60.5</v>
      </c>
      <c r="F12" s="52">
        <v>4.8499999999999996</v>
      </c>
      <c r="G12" s="52">
        <v>2.4</v>
      </c>
      <c r="H12" s="59">
        <v>0.08</v>
      </c>
      <c r="I12" s="59">
        <v>0.03</v>
      </c>
      <c r="J12" s="60">
        <v>8.5</v>
      </c>
      <c r="K12" s="51">
        <f t="array" ref="K12">_xlfn.IFS(E12&lt;$E$2,($E$2-E12)/0.1*$E$4+($F$2-$E$2)/0.1*$F$4,E12&gt;$H$2,(E12-$H$2)/0.1*$H$4+($H$2-$F$2)/0.1*$G$4,AND(E12&gt;=$F$2,E12&lt;=$H$2),ABS((E12-$F$2)/0.1*$G$4),AND(E12&lt;$F$2,E12&gt;=$E$2),-ABS((E12-$F$2)/0.1*$G$4))</f>
        <v>-5</v>
      </c>
      <c r="L12" s="52">
        <f t="array" ref="L12">_xlfn.IFS(E12&lt;$E$2,($E$2-E12)/0.1*$E$5+($F$2-$E$2)/0.1*$F$5,E12&gt;$H$2,(E12-$H$2)/0.1*$H$5+($H$2-$F$2)/0.1*$G$5,AND(E12&gt;=$F$2,E12&lt;=$H$2),ABS((E12-$F$2)/0.1*$G$5),AND(E12&lt;$F$2,E12&gt;=$E$2),-ABS((E12-$F$2)/0.1*$G$5))</f>
        <v>-7.5</v>
      </c>
      <c r="M12" s="52">
        <f t="array" ref="M12">_xlfn.IFS(E12&lt;$E$2,($E$2-E12)/0.1*$E$6+($F$2-$E$2)/0.1*$F$6,E12&gt;$H$2,(E12-$H$2)/0.1*$H$6+($H$2-$F$2)/0.1*$G$6,AND(E12&gt;=$F$2,E12&lt;=$H$2),ABS((E12-$F$2)/0.1*$G$6),AND(E12&lt;$F$2,E12&gt;=$E$2),-ABS((E12-$F$2)/0.1*$G$6))</f>
        <v>-10</v>
      </c>
      <c r="N12" s="52">
        <f t="array" ref="N12">_xlfn.IFS(F12&lt;$I$2,($I$2-F12)/0.1*$I$4,AND(F12&gt;$I$2,F12&lt;=$K$2),(F12-$I$2)/0.1*$J$4,F12&gt;$K$2,(F12-$K$2)/0.1*$K$4+($K$2-$I$2)/0.1*$J$4)</f>
        <v>-3.4999999999999964</v>
      </c>
      <c r="O12" s="52">
        <f t="array" ref="O12">_xlfn.IFS(AND(G12&lt;$L$2,G12&gt;=1),($L$2-G12)/0.1*$L$4,G12&lt;1,($L$2-1)/0.1*$L$4,G12&gt;$L$2,(G12-$L$2)/0.1*$M$4)</f>
        <v>2.0000000000000018</v>
      </c>
      <c r="P12" s="52">
        <f t="array" ref="P12">_xlfn.IFS(AND(H12&lt;=$O$2,H12&gt;$N$2),(H12-$N$2)/0.01*$N$4,H12&lt;=$N$2,0,H12&gt;$O$2,(H12-$O$2)/0.01*$O$4+($O$2-$N$2)/0.01*$N$4)</f>
        <v>0</v>
      </c>
      <c r="Q12" s="52">
        <f t="array" ref="Q12">_xlfn.IFS(AND(I12&lt;=$Q$2,I12&gt;$P$2),(I12-$P$2)/0.01*$P$4,I12&lt;=$P$2,0,I12&gt;$Q$2,(I12-$Q$2)/0.01*$Q$4+($Q$2-$P$2)/0.01*$P$4)</f>
        <v>0</v>
      </c>
      <c r="R12" s="51">
        <f>SUM(K12,$N12:$Q12)</f>
        <v>-6.4999999999999947</v>
      </c>
      <c r="S12" s="52">
        <f t="shared" si="0"/>
        <v>-8.9999999999999947</v>
      </c>
      <c r="T12" s="53">
        <f t="shared" si="0"/>
        <v>-11.499999999999995</v>
      </c>
      <c r="U12" s="54">
        <v>0</v>
      </c>
      <c r="V12" s="15">
        <v>762</v>
      </c>
      <c r="W12" s="55">
        <f t="shared" si="1"/>
        <v>831.28688524590166</v>
      </c>
      <c r="X12" s="56">
        <f t="shared" si="1"/>
        <v>833.78688524590166</v>
      </c>
      <c r="Y12" s="57">
        <f t="shared" si="1"/>
        <v>836.28688524590166</v>
      </c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</row>
    <row r="13" spans="1:81">
      <c r="A13" s="10"/>
      <c r="B13" s="10"/>
      <c r="D13" s="46" t="s">
        <v>23</v>
      </c>
      <c r="E13" s="58">
        <v>60.3</v>
      </c>
      <c r="F13" s="52">
        <v>4.9000000000000004</v>
      </c>
      <c r="G13" s="52">
        <v>3.45</v>
      </c>
      <c r="H13" s="59">
        <v>0.12</v>
      </c>
      <c r="I13" s="59">
        <v>0.02</v>
      </c>
      <c r="J13" s="60">
        <v>7.6</v>
      </c>
      <c r="K13" s="51">
        <f t="array" ref="K13">_xlfn.IFS(E13&lt;$E$2,($E$2-E13)/0.1*$E$4+($F$2-$E$2)/0.1*$F$4,E13&gt;$H$2,(E13-$H$2)/0.1*$H$4+($H$2-$F$2)/0.1*$G$4,AND(E13&gt;=$F$2,E13&lt;=$H$2),ABS((E13-$F$2)/0.1*$G$4),AND(E13&lt;$F$2,E13&gt;=$E$2),-ABS((E13-$F$2)/0.1*$G$4))</f>
        <v>-7.0000000000000284</v>
      </c>
      <c r="L13" s="52">
        <f t="array" ref="L13">_xlfn.IFS(E13&lt;$E$2,($E$2-E13)/0.1*$E$5+($F$2-$E$2)/0.1*$F$5,E13&gt;$H$2,(E13-$H$2)/0.1*$H$5+($H$2-$F$2)/0.1*$G$5,AND(E13&gt;=$F$2,E13&lt;=$H$2),ABS((E13-$F$2)/0.1*$G$5),AND(E13&lt;$F$2,E13&gt;=$E$2),-ABS((E13-$F$2)/0.1*$G$5))</f>
        <v>-10.500000000000043</v>
      </c>
      <c r="M13" s="52">
        <f t="array" ref="M13">_xlfn.IFS(E13&lt;$E$2,($E$2-E13)/0.1*$E$6+($F$2-$E$2)/0.1*$F$6,E13&gt;$H$2,(E13-$H$2)/0.1*$H$6+($H$2-$F$2)/0.1*$G$6,AND(E13&gt;=$F$2,E13&lt;=$H$2),ABS((E13-$F$2)/0.1*$G$6),AND(E13&lt;$F$2,E13&gt;=$E$2),-ABS((E13-$F$2)/0.1*$G$6))</f>
        <v>-14.000000000000057</v>
      </c>
      <c r="N13" s="52">
        <f t="array" ref="N13">_xlfn.IFS(F13&lt;$I$2,($I$2-F13)/0.1*$I$4,AND(F13&gt;$I$2,F13&lt;=$K$2),(F13-$I$2)/0.1*$J$4,F13&gt;$K$2,(F13-$K$2)/0.1*$K$4+($K$2-$I$2)/0.1*$J$4)</f>
        <v>-4.0000000000000036</v>
      </c>
      <c r="O13" s="52">
        <f t="array" ref="O13">_xlfn.IFS(AND(G13&lt;$L$2,G13&gt;=1),($L$2-G13)/0.1*$L$4,G13&lt;1,($L$2-1)/0.1*$L$4,G13&gt;$L$2,(G13-$L$2)/0.1*$M$4)</f>
        <v>-28.500000000000007</v>
      </c>
      <c r="P13" s="52">
        <f t="array" ref="P13">_xlfn.IFS(AND(H13&lt;=$O$2,H13&gt;$N$2),(H13-$N$2)/0.01*$N$4,H13&lt;=$N$2,0,H13&gt;$O$2,(H13-$O$2)/0.01*$O$4+($O$2-$N$2)/0.01*$N$4)</f>
        <v>-19.999999999999989</v>
      </c>
      <c r="Q13" s="52">
        <f t="array" ref="Q13">_xlfn.IFS(AND(I13&lt;=$Q$2,I13&gt;$P$2),(I13-$P$2)/0.01*$P$4,I13&lt;=$P$2,0,I13&gt;$Q$2,(I13-$Q$2)/0.01*$Q$4+($Q$2-$P$2)/0.01*$P$4)</f>
        <v>0</v>
      </c>
      <c r="R13" s="51">
        <f>SUM(K13,$N13:$Q13)</f>
        <v>-59.500000000000028</v>
      </c>
      <c r="S13" s="52">
        <f t="shared" si="0"/>
        <v>-63.000000000000043</v>
      </c>
      <c r="T13" s="53">
        <f t="shared" si="0"/>
        <v>-66.500000000000057</v>
      </c>
      <c r="U13" s="54">
        <v>0</v>
      </c>
      <c r="V13" s="15">
        <v>717</v>
      </c>
      <c r="W13" s="55">
        <f t="shared" si="1"/>
        <v>827.47402597402595</v>
      </c>
      <c r="X13" s="56">
        <f t="shared" si="1"/>
        <v>830.97402597402595</v>
      </c>
      <c r="Y13" s="57">
        <f t="shared" si="1"/>
        <v>834.47402597402606</v>
      </c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</row>
    <row r="14" spans="1:81">
      <c r="A14" s="10"/>
      <c r="B14" s="10"/>
      <c r="D14" s="46" t="s">
        <v>24</v>
      </c>
      <c r="E14" s="58">
        <v>60.699999999999996</v>
      </c>
      <c r="F14" s="62">
        <v>4.4999000000000002</v>
      </c>
      <c r="G14" s="52">
        <v>2.2999999999999998</v>
      </c>
      <c r="H14" s="59">
        <v>0.05</v>
      </c>
      <c r="I14" s="59">
        <v>0.03</v>
      </c>
      <c r="J14" s="60">
        <v>9</v>
      </c>
      <c r="K14" s="51">
        <f t="array" ref="K14">_xlfn.IFS(E14&lt;$E$2,($E$2-E14)/0.1*$E$4+($F$2-$E$2)/0.1*$F$4,E14&gt;$H$2,(E14-$H$2)/0.1*$H$4+($H$2-$F$2)/0.1*$G$4,AND(E14&gt;=$F$2,E14&lt;=$H$2),ABS((E14-$F$2)/0.1*$G$4),AND(E14&lt;$F$2,E14&gt;=$E$2),-ABS((E14-$F$2)/0.1*$G$4))</f>
        <v>-3.0000000000000426</v>
      </c>
      <c r="L14" s="52">
        <f t="array" ref="L14">_xlfn.IFS(E14&lt;$E$2,($E$2-E14)/0.1*$E$5+($F$2-$E$2)/0.1*$F$5,E14&gt;$H$2,(E14-$H$2)/0.1*$H$5+($H$2-$F$2)/0.1*$G$5,AND(E14&gt;=$F$2,E14&lt;=$H$2),ABS((E14-$F$2)/0.1*$G$5),AND(E14&lt;$F$2,E14&gt;=$E$2),-ABS((E14-$F$2)/0.1*$G$5))</f>
        <v>-4.5000000000000639</v>
      </c>
      <c r="M14" s="52">
        <f t="array" ref="M14">_xlfn.IFS(E14&lt;$E$2,($E$2-E14)/0.1*$E$6+($F$2-$E$2)/0.1*$F$6,E14&gt;$H$2,(E14-$H$2)/0.1*$H$6+($H$2-$F$2)/0.1*$G$6,AND(E14&gt;=$F$2,E14&lt;=$H$2),ABS((E14-$F$2)/0.1*$G$6),AND(E14&lt;$F$2,E14&gt;=$E$2),-ABS((E14-$F$2)/0.1*$G$6))</f>
        <v>-6.0000000000000853</v>
      </c>
      <c r="N14" s="52">
        <f t="array" ref="N14">_xlfn.IFS(F14&lt;$I$2,($I$2-F14)/0.1*$I$4,AND(F14&gt;$I$2,F14&lt;=$K$2),(F14-$I$2)/0.1*$J$4,F14&gt;$K$2,(F14-$K$2)/0.1*$K$4+($K$2-$I$2)/0.1*$J$4)</f>
        <v>4.9999999999883471E-4</v>
      </c>
      <c r="O14" s="52">
        <f t="array" ref="O14">_xlfn.IFS(AND(G14&lt;$L$2,G14&gt;=1),($L$2-G14)/0.1*$L$4,G14&lt;1,($L$2-1)/0.1*$L$4,G14&gt;$L$2,(G14-$L$2)/0.1*$M$4)</f>
        <v>4.0000000000000036</v>
      </c>
      <c r="P14" s="52">
        <f t="array" ref="P14">_xlfn.IFS(AND(H14&lt;=$O$2,H14&gt;$N$2),(H14-$N$2)/0.01*$N$4,H14&lt;=$N$2,0,H14&gt;$O$2,(H14-$O$2)/0.01*$O$4+($O$2-$N$2)/0.01*$N$4)</f>
        <v>0</v>
      </c>
      <c r="Q14" s="52">
        <f t="array" ref="Q14">_xlfn.IFS(AND(I14&lt;=$Q$2,I14&gt;$P$2),(I14-$P$2)/0.01*$P$4,I14&lt;=$P$2,0,I14&gt;$Q$2,(I14-$Q$2)/0.01*$Q$4+($Q$2-$P$2)/0.01*$P$4)</f>
        <v>0</v>
      </c>
      <c r="R14" s="51">
        <f t="shared" ref="R14:R23" si="2">SUM(K14,$N14:$Q14)</f>
        <v>1.0004999999999598</v>
      </c>
      <c r="S14" s="52">
        <f t="shared" si="0"/>
        <v>-0.49950000000006156</v>
      </c>
      <c r="T14" s="53">
        <f t="shared" si="0"/>
        <v>-1.9995000000000829</v>
      </c>
      <c r="U14" s="54">
        <v>0</v>
      </c>
      <c r="V14" s="15">
        <v>748</v>
      </c>
      <c r="W14" s="55">
        <f t="shared" si="1"/>
        <v>812.97752197802197</v>
      </c>
      <c r="X14" s="56">
        <f t="shared" si="1"/>
        <v>814.47752197802197</v>
      </c>
      <c r="Y14" s="57">
        <f t="shared" si="1"/>
        <v>815.97752197802208</v>
      </c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</row>
    <row r="15" spans="1:81">
      <c r="A15" s="10"/>
      <c r="B15" s="10"/>
      <c r="D15" s="63" t="s">
        <v>25</v>
      </c>
      <c r="E15" s="64">
        <v>62.5</v>
      </c>
      <c r="F15" s="65">
        <v>4.8</v>
      </c>
      <c r="G15" s="65">
        <v>1.9</v>
      </c>
      <c r="H15" s="66">
        <v>0.09</v>
      </c>
      <c r="I15" s="66">
        <v>0.02</v>
      </c>
      <c r="J15" s="67">
        <v>7.8</v>
      </c>
      <c r="K15" s="68">
        <f t="array" ref="K15">_xlfn.IFS(E15&lt;$E$2,($E$2-E15)/0.1*$E$4+($F$2-$E$2)/0.1*$F$4,E15&gt;$H$2,(E15-$H$2)/0.1*$H$4+($H$2-$F$2)/0.1*$G$4,AND(E15&gt;=$F$2,E15&lt;=$H$2),ABS((E15-$F$2)/0.1*$G$4),AND(E15&lt;$F$2,E15&gt;=$E$2),-ABS((E15-$F$2)/0.1*$G$4))</f>
        <v>15</v>
      </c>
      <c r="L15" s="65">
        <f t="array" ref="L15">_xlfn.IFS(E15&lt;$E$2,($E$2-E15)/0.1*$E$5+($F$2-$E$2)/0.1*$F$5,E15&gt;$H$2,(E15-$H$2)/0.1*$H$5+($H$2-$F$2)/0.1*$G$5,AND(E15&gt;=$F$2,E15&lt;=$H$2),ABS((E15-$F$2)/0.1*$G$5),AND(E15&lt;$F$2,E15&gt;=$E$2),-ABS((E15-$F$2)/0.1*$G$5))</f>
        <v>22.5</v>
      </c>
      <c r="M15" s="65">
        <f t="array" ref="M15">_xlfn.IFS(E15&lt;$E$2,($E$2-E15)/0.1*$E$6+($F$2-$E$2)/0.1*$F$6,E15&gt;$H$2,(E15-$H$2)/0.1*$H$6+($H$2-$F$2)/0.1*$G$6,AND(E15&gt;=$F$2,E15&lt;=$H$2),ABS((E15-$F$2)/0.1*$G$6),AND(E15&lt;$F$2,E15&gt;=$E$2),-ABS((E15-$F$2)/0.1*$G$6))</f>
        <v>30</v>
      </c>
      <c r="N15" s="65">
        <f t="array" ref="N15">_xlfn.IFS(F15&lt;$I$2,($I$2-F15)/0.1*$I$4,AND(F15&gt;$I$2,F15&lt;=$K$2),(F15-$I$2)/0.1*$J$4,F15&gt;$K$2,(F15-$K$2)/0.1*$K$4+($K$2-$I$2)/0.1*$J$4)</f>
        <v>-2.9999999999999982</v>
      </c>
      <c r="O15" s="65">
        <f t="array" ref="O15">_xlfn.IFS(AND(G15&lt;$L$2,G15&gt;=1),($L$2-G15)/0.1*$L$4,G15&lt;1,($L$2-1)/0.1*$L$4,G15&gt;$L$2,(G15-$L$2)/0.1*$M$4)</f>
        <v>12.000000000000002</v>
      </c>
      <c r="P15" s="65">
        <f t="array" ref="P15">_xlfn.IFS(AND(H15&lt;=$O$2,H15&gt;$N$2),(H15-$N$2)/0.01*$N$4,H15&lt;=$N$2,0,H15&gt;$O$2,(H15-$O$2)/0.01*$O$4+($O$2-$N$2)/0.01*$N$4)</f>
        <v>0</v>
      </c>
      <c r="Q15" s="65">
        <f t="array" ref="Q15">_xlfn.IFS(AND(I15&lt;=$Q$2,I15&gt;$P$2),(I15-$P$2)/0.01*$P$4,I15&lt;=$P$2,0,I15&gt;$Q$2,(I15-$Q$2)/0.01*$Q$4+($Q$2-$P$2)/0.01*$P$4)</f>
        <v>0</v>
      </c>
      <c r="R15" s="68">
        <f t="shared" si="2"/>
        <v>24.000000000000004</v>
      </c>
      <c r="S15" s="65">
        <f t="shared" si="0"/>
        <v>31.5</v>
      </c>
      <c r="T15" s="69">
        <f t="shared" si="0"/>
        <v>39</v>
      </c>
      <c r="U15" s="70">
        <v>15</v>
      </c>
      <c r="V15" s="71">
        <v>832</v>
      </c>
      <c r="W15" s="72">
        <f t="shared" si="1"/>
        <v>855.38611713665944</v>
      </c>
      <c r="X15" s="73">
        <f t="shared" si="1"/>
        <v>847.88611713665944</v>
      </c>
      <c r="Y15" s="74">
        <f t="shared" si="1"/>
        <v>840.38611713665944</v>
      </c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</row>
    <row r="16" spans="1:81">
      <c r="A16" s="10"/>
      <c r="B16" s="10"/>
      <c r="D16" s="46" t="s">
        <v>26</v>
      </c>
      <c r="E16" s="58">
        <v>56.499999999999993</v>
      </c>
      <c r="F16" s="52">
        <v>6.4</v>
      </c>
      <c r="G16" s="52">
        <v>3.2</v>
      </c>
      <c r="H16" s="59">
        <v>0.06</v>
      </c>
      <c r="I16" s="59">
        <v>3.4999999999999996E-2</v>
      </c>
      <c r="J16" s="60">
        <v>9</v>
      </c>
      <c r="K16" s="51">
        <f t="array" ref="K16">_xlfn.IFS(E16&lt;$E$2,($E$2-E16)/0.1*$E$4+($F$2-$E$2)/0.1*$F$4,E16&gt;$H$2,(E16-$H$2)/0.1*$H$4+($H$2-$F$2)/0.1*$G$4,AND(E16&gt;=$F$2,E16&lt;=$H$2),ABS((E16-$F$2)/0.1*$G$4),AND(E16&lt;$F$2,E16&gt;=$E$2),-ABS((E16-$F$2)/0.1*$G$4))</f>
        <v>-97.500000000000171</v>
      </c>
      <c r="L16" s="52">
        <f t="array" ref="L16">_xlfn.IFS(E16&lt;$E$2,($E$2-E16)/0.1*$E$5+($F$2-$E$2)/0.1*$F$5,E16&gt;$H$2,(E16-$H$2)/0.1*$H$5+($H$2-$F$2)/0.1*$G$5,AND(E16&gt;=$F$2,E16&lt;=$H$2),ABS((E16-$F$2)/0.1*$G$5),AND(E16&lt;$F$2,E16&gt;=$E$2),-ABS((E16-$F$2)/0.1*$G$5))</f>
        <v>-120.00000000000021</v>
      </c>
      <c r="M16" s="52">
        <f t="array" ref="M16">_xlfn.IFS(E16&lt;$E$2,($E$2-E16)/0.1*$E$6+($F$2-$E$2)/0.1*$F$6,E16&gt;$H$2,(E16-$H$2)/0.1*$H$6+($H$2-$F$2)/0.1*$G$6,AND(E16&gt;=$F$2,E16&lt;=$H$2),ABS((E16-$F$2)/0.1*$G$6),AND(E16&lt;$F$2,E16&gt;=$E$2),-ABS((E16-$F$2)/0.1*$G$6))</f>
        <v>-142.50000000000026</v>
      </c>
      <c r="N16" s="52">
        <f t="array" ref="N16">_xlfn.IFS(F16&lt;$I$2,($I$2-F16)/0.1*$I$4,AND(F16&gt;$I$2,F16&lt;=$K$2),(F16-$I$2)/0.1*$J$4,F16&gt;$K$2,(F16-$K$2)/0.1*$K$4+($K$2-$I$2)/0.1*$J$4)</f>
        <v>-19.000000000000004</v>
      </c>
      <c r="O16" s="52">
        <f t="array" ref="O16">_xlfn.IFS(AND(G16&lt;$L$2,G16&gt;=1),($L$2-G16)/0.1*$L$4,G16&lt;1,($L$2-1)/0.1*$L$4,G16&gt;$L$2,(G16-$L$2)/0.1*$M$4)</f>
        <v>-21.000000000000007</v>
      </c>
      <c r="P16" s="52">
        <f t="array" ref="P16">_xlfn.IFS(AND(H16&lt;=$O$2,H16&gt;$N$2),(H16-$N$2)/0.01*$N$4,H16&lt;=$N$2,0,H16&gt;$O$2,(H16-$O$2)/0.01*$O$4+($O$2-$N$2)/0.01*$N$4)</f>
        <v>0</v>
      </c>
      <c r="Q16" s="52">
        <f t="array" ref="Q16">_xlfn.IFS(AND(I16&lt;=$Q$2,I16&gt;$P$2),(I16-$P$2)/0.01*$P$4,I16&lt;=$P$2,0,I16&gt;$Q$2,(I16-$Q$2)/0.01*$Q$4+($Q$2-$P$2)/0.01*$P$4)</f>
        <v>-0.49999999999999972</v>
      </c>
      <c r="R16" s="51">
        <f t="shared" si="2"/>
        <v>-138.00000000000017</v>
      </c>
      <c r="S16" s="52">
        <f t="shared" si="0"/>
        <v>-160.50000000000023</v>
      </c>
      <c r="T16" s="53">
        <f t="shared" si="0"/>
        <v>-183.00000000000026</v>
      </c>
      <c r="U16" s="54">
        <v>0</v>
      </c>
      <c r="V16" s="15">
        <v>614</v>
      </c>
      <c r="W16" s="55">
        <f t="shared" si="1"/>
        <v>804.72527472527486</v>
      </c>
      <c r="X16" s="56">
        <f t="shared" si="1"/>
        <v>827.22527472527497</v>
      </c>
      <c r="Y16" s="57">
        <f t="shared" si="1"/>
        <v>849.72527472527497</v>
      </c>
      <c r="Z16" s="75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</row>
    <row r="17" spans="1:81">
      <c r="A17" s="10"/>
      <c r="B17" s="10"/>
      <c r="D17" s="46" t="s">
        <v>27</v>
      </c>
      <c r="E17" s="58">
        <v>58.199999999999996</v>
      </c>
      <c r="F17" s="52">
        <v>5.8000000000000007</v>
      </c>
      <c r="G17" s="52">
        <v>2.6</v>
      </c>
      <c r="H17" s="59">
        <v>0.08</v>
      </c>
      <c r="I17" s="59">
        <v>3.4999999999999996E-2</v>
      </c>
      <c r="J17" s="60">
        <v>8</v>
      </c>
      <c r="K17" s="51">
        <f t="array" ref="K17">_xlfn.IFS(E17&lt;$E$2,($E$2-E17)/0.1*$E$4+($F$2-$E$2)/0.1*$F$4,E17&gt;$H$2,(E17-$H$2)/0.1*$H$4+($H$2-$F$2)/0.1*$G$4,AND(E17&gt;=$F$2,E17&lt;=$H$2),ABS((E17-$F$2)/0.1*$G$4),AND(E17&lt;$F$2,E17&gt;=$E$2),-ABS((E17-$F$2)/0.1*$G$4))</f>
        <v>-55.000000000000107</v>
      </c>
      <c r="L17" s="52">
        <f t="array" ref="L17">_xlfn.IFS(E17&lt;$E$2,($E$2-E17)/0.1*$E$5+($F$2-$E$2)/0.1*$F$5,E17&gt;$H$2,(E17-$H$2)/0.1*$H$5+($H$2-$F$2)/0.1*$G$5,AND(E17&gt;=$F$2,E17&lt;=$H$2),ABS((E17-$F$2)/0.1*$G$5),AND(E17&lt;$F$2,E17&gt;=$E$2),-ABS((E17-$F$2)/0.1*$G$5))</f>
        <v>-69.000000000000128</v>
      </c>
      <c r="M17" s="52">
        <f t="array" ref="M17">_xlfn.IFS(E17&lt;$E$2,($E$2-E17)/0.1*$E$6+($F$2-$E$2)/0.1*$F$6,E17&gt;$H$2,(E17-$H$2)/0.1*$H$6+($H$2-$F$2)/0.1*$G$6,AND(E17&gt;=$F$2,E17&lt;=$H$2),ABS((E17-$F$2)/0.1*$G$6),AND(E17&lt;$F$2,E17&gt;=$E$2),-ABS((E17-$F$2)/0.1*$G$6))</f>
        <v>-83.000000000000142</v>
      </c>
      <c r="N17" s="52">
        <f t="array" ref="N17">_xlfn.IFS(F17&lt;$I$2,($I$2-F17)/0.1*$I$4,AND(F17&gt;$I$2,F17&lt;=$K$2),(F17-$I$2)/0.1*$J$4,F17&gt;$K$2,(F17-$K$2)/0.1*$K$4+($K$2-$I$2)/0.1*$J$4)</f>
        <v>-13.000000000000007</v>
      </c>
      <c r="O17" s="52">
        <f t="array" ref="O17">_xlfn.IFS(AND(G17&lt;$L$2,G17&gt;=1),($L$2-G17)/0.1*$L$4,G17&lt;1,($L$2-1)/0.1*$L$4,G17&gt;$L$2,(G17-$L$2)/0.1*$M$4)</f>
        <v>-3.0000000000000027</v>
      </c>
      <c r="P17" s="52">
        <f t="array" ref="P17">_xlfn.IFS(AND(H17&lt;=$O$2,H17&gt;$N$2),(H17-$N$2)/0.01*$N$4,H17&lt;=$N$2,0,H17&gt;$O$2,(H17-$O$2)/0.01*$O$4+($O$2-$N$2)/0.01*$N$4)</f>
        <v>0</v>
      </c>
      <c r="Q17" s="52">
        <f t="array" ref="Q17">_xlfn.IFS(AND(I17&lt;=$Q$2,I17&gt;$P$2),(I17-$P$2)/0.01*$P$4,I17&lt;=$P$2,0,I17&gt;$Q$2,(I17-$Q$2)/0.01*$Q$4+($Q$2-$P$2)/0.01*$P$4)</f>
        <v>-0.49999999999999972</v>
      </c>
      <c r="R17" s="51">
        <f t="shared" si="2"/>
        <v>-71.500000000000114</v>
      </c>
      <c r="S17" s="52">
        <f t="shared" si="0"/>
        <v>-85.500000000000142</v>
      </c>
      <c r="T17" s="53">
        <f t="shared" si="0"/>
        <v>-99.500000000000142</v>
      </c>
      <c r="U17" s="54">
        <v>0</v>
      </c>
      <c r="V17" s="15">
        <v>685</v>
      </c>
      <c r="W17" s="55">
        <f t="shared" si="1"/>
        <v>808.06521739130437</v>
      </c>
      <c r="X17" s="56">
        <f t="shared" si="1"/>
        <v>822.06521739130437</v>
      </c>
      <c r="Y17" s="57">
        <f t="shared" si="1"/>
        <v>836.06521739130437</v>
      </c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1"/>
    </row>
    <row r="18" spans="1:81">
      <c r="A18" s="10"/>
      <c r="B18" s="10"/>
      <c r="D18" s="76" t="s">
        <v>28</v>
      </c>
      <c r="E18" s="58">
        <v>65</v>
      </c>
      <c r="F18" s="52">
        <v>2</v>
      </c>
      <c r="G18" s="52">
        <v>1.22</v>
      </c>
      <c r="H18" s="59">
        <v>6.3E-2</v>
      </c>
      <c r="I18" s="59">
        <v>0</v>
      </c>
      <c r="J18" s="60">
        <v>7.4</v>
      </c>
      <c r="K18" s="51">
        <f t="array" ref="K18">_xlfn.IFS(E18&lt;$E$2,($E$2-E18)/0.1*$E$4+($F$2-$E$2)/0.1*$F$4,E18&gt;$H$2,(E18-$H$2)/0.1*$H$4+($H$2-$F$2)/0.1*$G$4,AND(E18&gt;=$F$2,E18&lt;=$H$2),ABS((E18-$F$2)/0.1*$G$4),AND(E18&lt;$F$2,E18&gt;=$E$2),-ABS((E18-$F$2)/0.1*$G$4))</f>
        <v>55</v>
      </c>
      <c r="L18" s="52">
        <f t="array" ref="L18">_xlfn.IFS(E18&lt;$E$2,($E$2-E18)/0.1*$E$5+($F$2-$E$2)/0.1*$F$5,E18&gt;$H$2,(E18-$H$2)/0.1*$H$5+($H$2-$F$2)/0.1*$G$5,AND(E18&gt;=$F$2,E18&lt;=$H$2),ABS((E18-$F$2)/0.1*$G$5),AND(E18&lt;$F$2,E18&gt;=$E$2),-ABS((E18-$F$2)/0.1*$G$5))</f>
        <v>75</v>
      </c>
      <c r="M18" s="52">
        <f t="array" ref="M18">_xlfn.IFS(E18&lt;$E$2,($E$2-E18)/0.1*$E$6+($F$2-$E$2)/0.1*$F$6,E18&gt;$H$2,(E18-$H$2)/0.1*$H$6+($H$2-$F$2)/0.1*$G$6,AND(E18&gt;=$F$2,E18&lt;=$H$2),ABS((E18-$F$2)/0.1*$G$6),AND(E18&lt;$F$2,E18&gt;=$E$2),-ABS((E18-$F$2)/0.1*$G$6))</f>
        <v>95</v>
      </c>
      <c r="N18" s="52">
        <f t="array" ref="N18">_xlfn.IFS(F18&lt;$I$2,($I$2-F18)/0.1*$I$4,AND(F18&gt;$I$2,F18&lt;=$K$2),(F18-$I$2)/0.1*$J$4,F18&gt;$K$2,(F18-$K$2)/0.1*$K$4+($K$2-$I$2)/0.1*$J$4)</f>
        <v>12.5</v>
      </c>
      <c r="O18" s="52">
        <f t="array" ref="O18">_xlfn.IFS(AND(G18&lt;$L$2,G18&gt;=1),($L$2-G18)/0.1*$L$4,G18&lt;1,($L$2-1)/0.1*$L$4,G18&gt;$L$2,(G18-$L$2)/0.1*$M$4)</f>
        <v>25.599999999999998</v>
      </c>
      <c r="P18" s="52">
        <f t="array" ref="P18">_xlfn.IFS(AND(H18&lt;=$O$2,H18&gt;$N$2),(H18-$N$2)/0.01*$N$4,H18&lt;=$N$2,0,H18&gt;$O$2,(H18-$O$2)/0.01*$O$4+($O$2-$N$2)/0.01*$N$4)</f>
        <v>0</v>
      </c>
      <c r="Q18" s="52">
        <f t="array" ref="Q18">_xlfn.IFS(AND(I18&lt;=$Q$2,I18&gt;$P$2),(I18-$P$2)/0.01*$P$4,I18&lt;=$P$2,0,I18&gt;$Q$2,(I18-$Q$2)/0.01*$Q$4+($Q$2-$P$2)/0.01*$P$4)</f>
        <v>0</v>
      </c>
      <c r="R18" s="51">
        <f t="shared" si="2"/>
        <v>93.1</v>
      </c>
      <c r="S18" s="52">
        <f t="shared" si="0"/>
        <v>113.1</v>
      </c>
      <c r="T18" s="53">
        <f t="shared" si="0"/>
        <v>133.1</v>
      </c>
      <c r="U18" s="54">
        <v>15</v>
      </c>
      <c r="V18" s="15">
        <v>892</v>
      </c>
      <c r="W18" s="55">
        <f t="shared" si="1"/>
        <v>847.18293736501084</v>
      </c>
      <c r="X18" s="56">
        <f t="shared" si="1"/>
        <v>827.18293736501084</v>
      </c>
      <c r="Y18" s="57">
        <f t="shared" si="1"/>
        <v>807.18293736501084</v>
      </c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</row>
    <row r="19" spans="1:81">
      <c r="A19" s="10"/>
      <c r="B19" s="10"/>
      <c r="D19" s="76" t="s">
        <v>29</v>
      </c>
      <c r="E19" s="58">
        <v>56.8</v>
      </c>
      <c r="F19" s="52">
        <v>5.75</v>
      </c>
      <c r="G19" s="52">
        <v>1.8</v>
      </c>
      <c r="H19" s="59">
        <v>0.05</v>
      </c>
      <c r="I19" s="59">
        <v>0.01</v>
      </c>
      <c r="J19" s="60">
        <v>10.5</v>
      </c>
      <c r="K19" s="51">
        <f t="array" ref="K19">_xlfn.IFS(E19&lt;$E$2,($E$2-E19)/0.1*$E$4+($F$2-$E$2)/0.1*$F$4,E19&gt;$H$2,(E19-$H$2)/0.1*$H$4+($H$2-$F$2)/0.1*$G$4,AND(E19&gt;=$F$2,E19&lt;=$H$2),ABS((E19-$F$2)/0.1*$G$4),AND(E19&lt;$F$2,E19&gt;=$E$2),-ABS((E19-$F$2)/0.1*$G$4))</f>
        <v>-90.000000000000071</v>
      </c>
      <c r="L19" s="52">
        <f t="array" ref="L19">_xlfn.IFS(E19&lt;$E$2,($E$2-E19)/0.1*$E$5+($F$2-$E$2)/0.1*$F$5,E19&gt;$H$2,(E19-$H$2)/0.1*$H$5+($H$2-$F$2)/0.1*$G$5,AND(E19&gt;=$F$2,E19&lt;=$H$2),ABS((E19-$F$2)/0.1*$G$5),AND(E19&lt;$F$2,E19&gt;=$E$2),-ABS((E19-$F$2)/0.1*$G$5))</f>
        <v>-111.00000000000009</v>
      </c>
      <c r="M19" s="52">
        <f t="array" ref="M19">_xlfn.IFS(E19&lt;$E$2,($E$2-E19)/0.1*$E$6+($F$2-$E$2)/0.1*$F$6,E19&gt;$H$2,(E19-$H$2)/0.1*$H$6+($H$2-$F$2)/0.1*$G$6,AND(E19&gt;=$F$2,E19&lt;=$H$2),ABS((E19-$F$2)/0.1*$G$6),AND(E19&lt;$F$2,E19&gt;=$E$2),-ABS((E19-$F$2)/0.1*$G$6))</f>
        <v>-132.00000000000011</v>
      </c>
      <c r="N19" s="52">
        <f t="array" ref="N19">_xlfn.IFS(F19&lt;$I$2,($I$2-F19)/0.1*$I$4,AND(F19&gt;$I$2,F19&lt;=$K$2),(F19-$I$2)/0.1*$J$4,F19&gt;$K$2,(F19-$K$2)/0.1*$K$4+($K$2-$I$2)/0.1*$J$4)</f>
        <v>-12.5</v>
      </c>
      <c r="O19" s="52">
        <f t="array" ref="O19">_xlfn.IFS(AND(G19&lt;$L$2,G19&gt;=1),($L$2-G19)/0.1*$L$4,G19&lt;1,($L$2-1)/0.1*$L$4,G19&gt;$L$2,(G19-$L$2)/0.1*$M$4)</f>
        <v>13.999999999999998</v>
      </c>
      <c r="P19" s="52">
        <f t="array" ref="P19">_xlfn.IFS(AND(H19&lt;=$O$2,H19&gt;$N$2),(H19-$N$2)/0.01*$N$4,H19&lt;=$N$2,0,H19&gt;$O$2,(H19-$O$2)/0.01*$O$4+($O$2-$N$2)/0.01*$N$4)</f>
        <v>0</v>
      </c>
      <c r="Q19" s="52">
        <f t="array" ref="Q19">_xlfn.IFS(AND(I19&lt;=$Q$2,I19&gt;$P$2),(I19-$P$2)/0.01*$P$4,I19&lt;=$P$2,0,I19&gt;$Q$2,(I19-$Q$2)/0.01*$Q$4+($Q$2-$P$2)/0.01*$P$4)</f>
        <v>0</v>
      </c>
      <c r="R19" s="51">
        <f t="shared" si="2"/>
        <v>-88.500000000000071</v>
      </c>
      <c r="S19" s="52">
        <f t="shared" si="0"/>
        <v>-109.50000000000009</v>
      </c>
      <c r="T19" s="53">
        <f t="shared" si="0"/>
        <v>-130.50000000000011</v>
      </c>
      <c r="U19" s="54">
        <v>0</v>
      </c>
      <c r="V19" s="15"/>
      <c r="W19" s="55"/>
      <c r="X19" s="56"/>
      <c r="Y19" s="57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</row>
    <row r="20" spans="1:81">
      <c r="A20" s="10"/>
      <c r="B20" s="10"/>
      <c r="D20" s="77" t="s">
        <v>30</v>
      </c>
      <c r="E20" s="58">
        <v>65.5</v>
      </c>
      <c r="F20" s="52">
        <v>7.4</v>
      </c>
      <c r="G20" s="52">
        <v>0.2</v>
      </c>
      <c r="H20" s="59">
        <v>0.03</v>
      </c>
      <c r="I20" s="59">
        <v>0.04</v>
      </c>
      <c r="J20" s="60">
        <v>9.3000000000000007</v>
      </c>
      <c r="K20" s="51">
        <f t="array" ref="K20">_xlfn.IFS(E20&lt;$E$2,($E$2-E20)/0.1*$E$4+($F$2-$E$2)/0.1*$F$4,E20&gt;$H$2,(E20-$H$2)/0.1*$H$4+($H$2-$F$2)/0.1*$G$4,AND(E20&gt;=$F$2,E20&lt;=$H$2),ABS((E20-$F$2)/0.1*$G$4),AND(E20&lt;$F$2,E20&gt;=$E$2),-ABS((E20-$F$2)/0.1*$G$4))</f>
        <v>65</v>
      </c>
      <c r="L20" s="52">
        <f t="array" ref="L20">_xlfn.IFS(E20&lt;$E$2,($E$2-E20)/0.1*$E$5+($F$2-$E$2)/0.1*$F$5,E20&gt;$H$2,(E20-$H$2)/0.1*$H$5+($H$2-$F$2)/0.1*$G$5,AND(E20&gt;=$F$2,E20&lt;=$H$2),ABS((E20-$F$2)/0.1*$G$5),AND(E20&lt;$F$2,E20&gt;=$E$2),-ABS((E20-$F$2)/0.1*$G$5))</f>
        <v>87.5</v>
      </c>
      <c r="M20" s="52">
        <f t="array" ref="M20">_xlfn.IFS(E20&lt;$E$2,($E$2-E20)/0.1*$E$6+($F$2-$E$2)/0.1*$F$6,E20&gt;$H$2,(E20-$H$2)/0.1*$H$6+($H$2-$F$2)/0.1*$G$6,AND(E20&gt;=$F$2,E20&lt;=$H$2),ABS((E20-$F$2)/0.1*$G$6),AND(E20&lt;$F$2,E20&gt;=$E$2),-ABS((E20-$F$2)/0.1*$G$6))</f>
        <v>110</v>
      </c>
      <c r="N20" s="52">
        <f t="array" ref="N20">_xlfn.IFS(F20&lt;$I$2,($I$2-F20)/0.1*$I$4,AND(F20&gt;$I$2,F20&lt;=$K$2),(F20-$I$2)/0.1*$J$4,F20&gt;$K$2,(F20-$K$2)/0.1*$K$4+($K$2-$I$2)/0.1*$J$4)</f>
        <v>-33.500000000000007</v>
      </c>
      <c r="O20" s="52">
        <f t="array" ref="O20">_xlfn.IFS(AND(G20&lt;$L$2,G20&gt;=1),($L$2-G20)/0.1*$L$4,G20&lt;1,($L$2-1)/0.1*$L$4,G20&gt;$L$2,(G20-$L$2)/0.1*$M$4)</f>
        <v>30</v>
      </c>
      <c r="P20" s="52">
        <f t="array" ref="P20">_xlfn.IFS(AND(H20&lt;=$O$2,H20&gt;$N$2),(H20-$N$2)/0.01*$N$4,H20&lt;=$N$2,0,H20&gt;$O$2,(H20-$O$2)/0.01*$O$4+($O$2-$N$2)/0.01*$N$4)</f>
        <v>0</v>
      </c>
      <c r="Q20" s="52">
        <f t="array" ref="Q20">_xlfn.IFS(AND(I20&lt;=$Q$2,I20&gt;$P$2),(I20-$P$2)/0.01*$P$4,I20&lt;=$P$2,0,I20&gt;$Q$2,(I20-$Q$2)/0.01*$Q$4+($Q$2-$P$2)/0.01*$P$4)</f>
        <v>-1.0000000000000002</v>
      </c>
      <c r="R20" s="51">
        <f t="shared" si="2"/>
        <v>60.499999999999993</v>
      </c>
      <c r="S20" s="52">
        <f t="shared" si="0"/>
        <v>83</v>
      </c>
      <c r="T20" s="53">
        <f t="shared" si="0"/>
        <v>105.5</v>
      </c>
      <c r="U20" s="54">
        <v>0</v>
      </c>
      <c r="V20" s="15">
        <v>857</v>
      </c>
      <c r="W20" s="55">
        <f t="shared" ref="W20:Y25" si="3">$V20/(1-$J20%)-R20-$U20-8</f>
        <v>876.37320837927234</v>
      </c>
      <c r="X20" s="56">
        <f t="shared" si="3"/>
        <v>853.87320837927234</v>
      </c>
      <c r="Y20" s="57">
        <f t="shared" si="3"/>
        <v>831.37320837927234</v>
      </c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</row>
    <row r="21" spans="1:81">
      <c r="A21" s="10"/>
      <c r="B21" s="10"/>
      <c r="D21" s="76" t="s">
        <v>31</v>
      </c>
      <c r="E21" s="58">
        <v>59.5</v>
      </c>
      <c r="F21" s="52">
        <v>5.0999999999999996</v>
      </c>
      <c r="G21" s="52">
        <v>3.3</v>
      </c>
      <c r="H21" s="59">
        <v>1.7999999999999999E-2</v>
      </c>
      <c r="I21" s="59">
        <v>1.9E-2</v>
      </c>
      <c r="J21" s="60">
        <v>7.75</v>
      </c>
      <c r="K21" s="51">
        <f t="array" ref="K21">_xlfn.IFS(E21&lt;$E$2,($E$2-E21)/0.1*$E$4+($F$2-$E$2)/0.1*$F$4,E21&gt;$H$2,(E21-$H$2)/0.1*$H$4+($H$2-$F$2)/0.1*$G$4,AND(E21&gt;=$F$2,E21&lt;=$H$2),ABS((E21-$F$2)/0.1*$G$4),AND(E21&lt;$F$2,E21&gt;=$E$2),-ABS((E21-$F$2)/0.1*$G$4))</f>
        <v>-22.5</v>
      </c>
      <c r="L21" s="52">
        <f t="array" ref="L21">_xlfn.IFS(E21&lt;$E$2,($E$2-E21)/0.1*$E$5+($F$2-$E$2)/0.1*$F$5,E21&gt;$H$2,(E21-$H$2)/0.1*$H$5+($H$2-$F$2)/0.1*$G$5,AND(E21&gt;=$F$2,E21&lt;=$H$2),ABS((E21-$F$2)/0.1*$G$5),AND(E21&lt;$F$2,E21&gt;=$E$2),-ABS((E21-$F$2)/0.1*$G$5))</f>
        <v>-30</v>
      </c>
      <c r="M21" s="52">
        <f t="array" ref="M21">_xlfn.IFS(E21&lt;$E$2,($E$2-E21)/0.1*$E$6+($F$2-$E$2)/0.1*$F$6,E21&gt;$H$2,(E21-$H$2)/0.1*$H$6+($H$2-$F$2)/0.1*$G$6,AND(E21&gt;=$F$2,E21&lt;=$H$2),ABS((E21-$F$2)/0.1*$G$6),AND(E21&lt;$F$2,E21&gt;=$E$2),-ABS((E21-$F$2)/0.1*$G$6))</f>
        <v>-37.5</v>
      </c>
      <c r="N21" s="52">
        <f t="array" ref="N21">_xlfn.IFS(F21&lt;$I$2,($I$2-F21)/0.1*$I$4,AND(F21&gt;$I$2,F21&lt;=$K$2),(F21-$I$2)/0.1*$J$4,F21&gt;$K$2,(F21-$K$2)/0.1*$K$4+($K$2-$I$2)/0.1*$J$4)</f>
        <v>-5.9999999999999964</v>
      </c>
      <c r="O21" s="52">
        <f t="array" ref="O21">_xlfn.IFS(AND(G21&lt;$L$2,G21&gt;=1),($L$2-G21)/0.1*$L$4,G21&lt;1,($L$2-1)/0.1*$L$4,G21&gt;$L$2,(G21-$L$2)/0.1*$M$4)</f>
        <v>-23.999999999999993</v>
      </c>
      <c r="P21" s="52">
        <f t="array" ref="P21">_xlfn.IFS(AND(H21&lt;=$O$2,H21&gt;$N$2),(H21-$N$2)/0.01*$N$4,H21&lt;=$N$2,0,H21&gt;$O$2,(H21-$O$2)/0.01*$O$4+($O$2-$N$2)/0.01*$N$4)</f>
        <v>0</v>
      </c>
      <c r="Q21" s="52">
        <f t="array" ref="Q21">_xlfn.IFS(AND(I21&lt;=$Q$2,I21&gt;$P$2),(I21-$P$2)/0.01*$P$4,I21&lt;=$P$2,0,I21&gt;$Q$2,(I21-$Q$2)/0.01*$Q$4+($Q$2-$P$2)/0.01*$P$4)</f>
        <v>0</v>
      </c>
      <c r="R21" s="51">
        <f t="shared" si="2"/>
        <v>-52.499999999999986</v>
      </c>
      <c r="S21" s="52">
        <f t="shared" si="0"/>
        <v>-59.999999999999993</v>
      </c>
      <c r="T21" s="53">
        <f t="shared" si="0"/>
        <v>-67.5</v>
      </c>
      <c r="U21" s="54">
        <v>0</v>
      </c>
      <c r="V21" s="15">
        <v>712</v>
      </c>
      <c r="W21" s="55">
        <f t="shared" si="3"/>
        <v>816.31571815718155</v>
      </c>
      <c r="X21" s="56">
        <f t="shared" si="3"/>
        <v>823.81571815718155</v>
      </c>
      <c r="Y21" s="57">
        <f t="shared" si="3"/>
        <v>831.31571815718155</v>
      </c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</row>
    <row r="22" spans="1:81">
      <c r="A22" s="10"/>
      <c r="B22" s="10"/>
      <c r="D22" s="76" t="s">
        <v>32</v>
      </c>
      <c r="E22" s="78">
        <v>61.31</v>
      </c>
      <c r="F22" s="79">
        <v>7.91</v>
      </c>
      <c r="G22" s="79">
        <v>1.42</v>
      </c>
      <c r="H22" s="80">
        <v>6.0999999999999999E-2</v>
      </c>
      <c r="I22" s="80">
        <v>0</v>
      </c>
      <c r="J22" s="81">
        <v>8.6</v>
      </c>
      <c r="K22" s="51">
        <f t="array" ref="K22">_xlfn.IFS(E22&lt;$E$2,($E$2-E22)/0.1*$E$4+($F$2-$E$2)/0.1*$F$4,E22&gt;$H$2,(E22-$H$2)/0.1*$H$4+($H$2-$F$2)/0.1*$G$4,AND(E22&gt;=$F$2,E22&lt;=$H$2),ABS((E22-$F$2)/0.1*$G$4),AND(E22&lt;$F$2,E22&gt;=$E$2),-ABS((E22-$F$2)/0.1*$G$4))</f>
        <v>3.1000000000000227</v>
      </c>
      <c r="L22" s="52">
        <f t="array" ref="L22">_xlfn.IFS(E22&lt;$E$2,($E$2-E22)/0.1*$E$5+($F$2-$E$2)/0.1*$F$5,E22&gt;$H$2,(E22-$H$2)/0.1*$H$5+($H$2-$F$2)/0.1*$G$5,AND(E22&gt;=$F$2,E22&lt;=$H$2),ABS((E22-$F$2)/0.1*$G$5),AND(E22&lt;$F$2,E22&gt;=$E$2),-ABS((E22-$F$2)/0.1*$G$5))</f>
        <v>4.6500000000000341</v>
      </c>
      <c r="M22" s="52">
        <f t="array" ref="M22">_xlfn.IFS(E22&lt;$E$2,($E$2-E22)/0.1*$E$6+($F$2-$E$2)/0.1*$F$6,E22&gt;$H$2,(E22-$H$2)/0.1*$H$6+($H$2-$F$2)/0.1*$G$6,AND(E22&gt;=$F$2,E22&lt;=$H$2),ABS((E22-$F$2)/0.1*$G$6),AND(E22&lt;$F$2,E22&gt;=$E$2),-ABS((E22-$F$2)/0.1*$G$6))</f>
        <v>6.2000000000000455</v>
      </c>
      <c r="N22" s="52">
        <f t="array" ref="N22">_xlfn.IFS(F22&lt;$I$2,($I$2-F22)/0.1*$I$4,AND(F22&gt;$I$2,F22&lt;=$K$2),(F22-$I$2)/0.1*$J$4,F22&gt;$K$2,(F22-$K$2)/0.1*$K$4+($K$2-$I$2)/0.1*$J$4)</f>
        <v>-41.150000000000006</v>
      </c>
      <c r="O22" s="52">
        <f t="array" ref="O22">_xlfn.IFS(AND(G22&lt;$L$2,G22&gt;=1),($L$2-G22)/0.1*$L$4,G22&lt;1,($L$2-1)/0.1*$L$4,G22&gt;$L$2,(G22-$L$2)/0.1*$M$4)</f>
        <v>21.6</v>
      </c>
      <c r="P22" s="52">
        <f t="array" ref="P22">_xlfn.IFS(AND(H22&lt;=$O$2,H22&gt;$N$2),(H22-$N$2)/0.01*$N$4,H22&lt;=$N$2,0,H22&gt;$O$2,(H22-$O$2)/0.01*$O$4+($O$2-$N$2)/0.01*$N$4)</f>
        <v>0</v>
      </c>
      <c r="Q22" s="52">
        <f t="array" ref="Q22">_xlfn.IFS(AND(I22&lt;=$Q$2,I22&gt;$P$2),(I22-$P$2)/0.01*$P$4,I22&lt;=$P$2,0,I22&gt;$Q$2,(I22-$Q$2)/0.01*$Q$4+($Q$2-$P$2)/0.01*$P$4)</f>
        <v>0</v>
      </c>
      <c r="R22" s="51">
        <f t="shared" si="2"/>
        <v>-16.449999999999982</v>
      </c>
      <c r="S22" s="52">
        <f t="shared" si="0"/>
        <v>-14.89999999999997</v>
      </c>
      <c r="T22" s="53">
        <f t="shared" si="0"/>
        <v>-13.349999999999959</v>
      </c>
      <c r="U22" s="54">
        <v>0</v>
      </c>
      <c r="V22" s="15">
        <v>742</v>
      </c>
      <c r="W22" s="55">
        <f t="shared" si="3"/>
        <v>820.266192560175</v>
      </c>
      <c r="X22" s="56">
        <f t="shared" si="3"/>
        <v>818.71619256017505</v>
      </c>
      <c r="Y22" s="57">
        <f t="shared" si="3"/>
        <v>817.16619256017498</v>
      </c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</row>
    <row r="23" spans="1:81" ht="14.4" thickBot="1">
      <c r="A23" s="10"/>
      <c r="B23" s="10"/>
      <c r="D23" s="82" t="s">
        <v>33</v>
      </c>
      <c r="E23" s="83">
        <v>57.5</v>
      </c>
      <c r="F23" s="84">
        <v>6.6</v>
      </c>
      <c r="G23" s="84">
        <v>3.8</v>
      </c>
      <c r="H23" s="85">
        <v>0.12</v>
      </c>
      <c r="I23" s="85">
        <v>0.03</v>
      </c>
      <c r="J23" s="86">
        <v>7.5</v>
      </c>
      <c r="K23" s="87">
        <f t="array" ref="K23">_xlfn.IFS(E23&lt;$E$2,($E$2-E23)/0.1*$E$4+($F$2-$E$2)/0.1*$F$4,E23&gt;$H$2,(E23-$H$2)/0.1*$H$4+($H$2-$F$2)/0.1*$G$4,AND(E23&gt;=$F$2,E23&lt;=$H$2),ABS((E23-$F$2)/0.1*$G$4),AND(E23&lt;$F$2,E23&gt;=$E$2),-ABS((E23-$F$2)/0.1*$G$4))</f>
        <v>-72.5</v>
      </c>
      <c r="L23" s="84">
        <f t="array" ref="L23">_xlfn.IFS(E23&lt;$E$2,($E$2-E23)/0.1*$E$5+($F$2-$E$2)/0.1*$F$5,E23&gt;$H$2,(E23-$H$2)/0.1*$H$5+($H$2-$F$2)/0.1*$G$5,AND(E23&gt;=$F$2,E23&lt;=$H$2),ABS((E23-$F$2)/0.1*$G$5),AND(E23&lt;$F$2,E23&gt;=$E$2),-ABS((E23-$F$2)/0.1*$G$5))</f>
        <v>-90</v>
      </c>
      <c r="M23" s="84">
        <f t="array" ref="M23">_xlfn.IFS(E23&lt;$E$2,($E$2-E23)/0.1*$E$6+($F$2-$E$2)/0.1*$F$6,E23&gt;$H$2,(E23-$H$2)/0.1*$H$6+($H$2-$F$2)/0.1*$G$6,AND(E23&gt;=$F$2,E23&lt;=$H$2),ABS((E23-$F$2)/0.1*$G$6),AND(E23&lt;$F$2,E23&gt;=$E$2),-ABS((E23-$F$2)/0.1*$G$6))</f>
        <v>-107.5</v>
      </c>
      <c r="N23" s="84">
        <f t="array" ref="N23">_xlfn.IFS(F23&lt;$I$2,($I$2-F23)/0.1*$I$4,AND(F23&gt;$I$2,F23&lt;=$K$2),(F23-$I$2)/0.1*$J$4,F23&gt;$K$2,(F23-$K$2)/0.1*$K$4+($K$2-$I$2)/0.1*$J$4)</f>
        <v>-21.499999999999993</v>
      </c>
      <c r="O23" s="84">
        <f t="array" ref="O23">_xlfn.IFS(AND(G23&lt;$L$2,G23&gt;=1),($L$2-G23)/0.1*$L$4,G23&lt;1,($L$2-1)/0.1*$L$4,G23&gt;$L$2,(G23-$L$2)/0.1*$M$4)</f>
        <v>-38.999999999999993</v>
      </c>
      <c r="P23" s="84">
        <f t="array" ref="P23">_xlfn.IFS(AND(H23&lt;=$O$2,H23&gt;$N$2),(H23-$N$2)/0.01*$N$4,H23&lt;=$N$2,0,H23&gt;$O$2,(H23-$O$2)/0.01*$O$4+($O$2-$N$2)/0.01*$N$4)</f>
        <v>-19.999999999999989</v>
      </c>
      <c r="Q23" s="84">
        <f t="array" ref="Q23">_xlfn.IFS(AND(I23&lt;=$Q$2,I23&gt;$P$2),(I23-$P$2)/0.01*$P$4,I23&lt;=$P$2,0,I23&gt;$Q$2,(I23-$Q$2)/0.01*$Q$4+($Q$2-$P$2)/0.01*$P$4)</f>
        <v>0</v>
      </c>
      <c r="R23" s="87">
        <f t="shared" si="2"/>
        <v>-153</v>
      </c>
      <c r="S23" s="84">
        <f t="shared" si="0"/>
        <v>-170.5</v>
      </c>
      <c r="T23" s="88">
        <f t="shared" si="0"/>
        <v>-188</v>
      </c>
      <c r="U23" s="89">
        <v>0</v>
      </c>
      <c r="V23" s="24">
        <v>667</v>
      </c>
      <c r="W23" s="90">
        <f t="shared" si="3"/>
        <v>866.08108108108104</v>
      </c>
      <c r="X23" s="91">
        <f t="shared" si="3"/>
        <v>883.58108108108104</v>
      </c>
      <c r="Y23" s="92">
        <f t="shared" si="3"/>
        <v>901.08108108108104</v>
      </c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</row>
    <row r="24" spans="1:81">
      <c r="A24" s="10"/>
      <c r="B24" s="10"/>
      <c r="D24" s="46" t="s">
        <v>34</v>
      </c>
      <c r="E24" s="47">
        <v>60.8</v>
      </c>
      <c r="F24" s="48">
        <v>4.3</v>
      </c>
      <c r="G24" s="48">
        <v>2.5000000000000102</v>
      </c>
      <c r="H24" s="49">
        <v>0.11</v>
      </c>
      <c r="I24" s="49">
        <v>0.02</v>
      </c>
      <c r="J24" s="50">
        <v>8.8000000000000007</v>
      </c>
      <c r="K24" s="51">
        <f t="array" ref="K24">_xlfn.IFS(E24&lt;$E$2,($E$2-E24)/0.1*$E$4+($F$2-$E$2)/0.1*$F$4,E24&gt;$H$2,(E24-$H$2)/0.1*$H$4+($H$2-$F$2)/0.1*$G$4,AND(E24&gt;=$F$2,E24&lt;=$H$2),ABS((E24-$F$2)/0.1*$G$4),AND(E24&lt;$F$2,E24&gt;=$E$2),-ABS((E24-$F$2)/0.1*$G$4))</f>
        <v>-2.0000000000000284</v>
      </c>
      <c r="L24" s="52">
        <f t="array" ref="L24">_xlfn.IFS(E24&lt;$E$2,($E$2-E24)/0.1*$E$5+($F$2-$E$2)/0.1*$F$5,E24&gt;$H$2,(E24-$H$2)/0.1*$H$5+($H$2-$F$2)/0.1*$G$5,AND(E24&gt;=$F$2,E24&lt;=$H$2),ABS((E24-$F$2)/0.1*$G$5),AND(E24&lt;$F$2,E24&gt;=$E$2),-ABS((E24-$F$2)/0.1*$G$5))</f>
        <v>-3.0000000000000426</v>
      </c>
      <c r="M24" s="52">
        <f t="array" ref="M24">_xlfn.IFS(E24&lt;$E$2,($E$2-E24)/0.1*$E$6+($F$2-$E$2)/0.1*$F$6,E24&gt;$H$2,(E24-$H$2)/0.1*$H$6+($H$2-$F$2)/0.1*$G$6,AND(E24&gt;=$F$2,E24&lt;=$H$2),ABS((E24-$F$2)/0.1*$G$6),AND(E24&lt;$F$2,E24&gt;=$E$2),-ABS((E24-$F$2)/0.1*$G$6))</f>
        <v>-4.0000000000000568</v>
      </c>
      <c r="N24" s="52">
        <f t="array" ref="N24">_xlfn.IFS(F24&lt;$I$2,($I$2-F24)/0.1*$I$4,AND(F24&gt;$I$2,F24&lt;=$K$2),(F24-$I$2)/0.1*$J$4,F24&gt;$K$2,(F24-$K$2)/0.1*$K$4+($K$2-$I$2)/0.1*$J$4)</f>
        <v>1.0000000000000009</v>
      </c>
      <c r="O24" s="52">
        <f t="array" ref="O24">_xlfn.IFS(AND(G24&lt;$L$2,G24&gt;=1),($L$2-G24)/0.1*$L$4,G24&lt;1,($L$2-1)/0.1*$L$4,G24&gt;$L$2,(G24-$L$2)/0.1*$M$4)</f>
        <v>-3.0642155479654321E-13</v>
      </c>
      <c r="P24" s="52">
        <f t="array" ref="P24">_xlfn.IFS(AND(H24&lt;=$O$2,H24&gt;$N$2),(H24-$N$2)/0.01*$N$4,H24&lt;=$N$2,0,H24&gt;$O$2,(H24-$O$2)/0.01*$O$4+($O$2-$N$2)/0.01*$N$4)</f>
        <v>-9.9999999999999947</v>
      </c>
      <c r="Q24" s="52">
        <f t="array" ref="Q24">_xlfn.IFS(AND(I24&lt;=$Q$2,I24&gt;$P$2),(I24-$P$2)/0.01*$P$4,I24&lt;=$P$2,0,I24&gt;$Q$2,(I24-$Q$2)/0.01*$Q$4+($Q$2-$P$2)/0.01*$P$4)</f>
        <v>0</v>
      </c>
      <c r="R24" s="51">
        <f>SUM(K24,$N24:$Q24)</f>
        <v>-11.000000000000329</v>
      </c>
      <c r="S24" s="52">
        <f t="shared" si="0"/>
        <v>-12.000000000000343</v>
      </c>
      <c r="T24" s="53">
        <f t="shared" si="0"/>
        <v>-13.000000000000357</v>
      </c>
      <c r="U24" s="54">
        <v>15</v>
      </c>
      <c r="V24" s="15">
        <v>761</v>
      </c>
      <c r="W24" s="55">
        <f t="shared" si="3"/>
        <v>822.42982456140385</v>
      </c>
      <c r="X24" s="56">
        <f t="shared" si="3"/>
        <v>823.42982456140385</v>
      </c>
      <c r="Y24" s="57">
        <f t="shared" si="3"/>
        <v>824.42982456140385</v>
      </c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</row>
    <row r="25" spans="1:81">
      <c r="A25" s="10"/>
      <c r="B25" s="10"/>
      <c r="D25" s="46" t="s">
        <v>34</v>
      </c>
      <c r="E25" s="58">
        <v>61.11</v>
      </c>
      <c r="F25" s="52">
        <v>4</v>
      </c>
      <c r="G25" s="52">
        <v>2.4300000000000002</v>
      </c>
      <c r="H25" s="59">
        <v>0.113</v>
      </c>
      <c r="I25" s="59">
        <v>1.7000000000000001E-2</v>
      </c>
      <c r="J25" s="93">
        <v>7.62</v>
      </c>
      <c r="K25" s="51">
        <f t="array" ref="K25">_xlfn.IFS(E25&lt;$E$2,($E$2-E25)/0.1*$E$4+($F$2-$E$2)/0.1*$F$4,E25&gt;$H$2,(E25-$H$2)/0.1*$H$4+($H$2-$F$2)/0.1*$G$4,AND(E25&gt;=$F$2,E25&lt;=$H$2),ABS((E25-$F$2)/0.1*$G$4),AND(E25&lt;$F$2,E25&gt;=$E$2),-ABS((E25-$F$2)/0.1*$G$4))</f>
        <v>1.0999999999999943</v>
      </c>
      <c r="L25" s="52">
        <f t="array" ref="L25">_xlfn.IFS(E25&lt;$E$2,($E$2-E25)/0.1*$E$5+($F$2-$E$2)/0.1*$F$5,E25&gt;$H$2,(E25-$H$2)/0.1*$H$5+($H$2-$F$2)/0.1*$G$5,AND(E25&gt;=$F$2,E25&lt;=$H$2),ABS((E25-$F$2)/0.1*$G$5),AND(E25&lt;$F$2,E25&gt;=$E$2),-ABS((E25-$F$2)/0.1*$G$5))</f>
        <v>1.6499999999999915</v>
      </c>
      <c r="M25" s="52">
        <f t="array" ref="M25">_xlfn.IFS(E25&lt;$E$2,($E$2-E25)/0.1*$E$6+($F$2-$E$2)/0.1*$F$6,E25&gt;$H$2,(E25-$H$2)/0.1*$H$6+($H$2-$F$2)/0.1*$G$6,AND(E25&gt;=$F$2,E25&lt;=$H$2),ABS((E25-$F$2)/0.1*$G$6),AND(E25&lt;$F$2,E25&gt;=$E$2),-ABS((E25-$F$2)/0.1*$G$6))</f>
        <v>2.1999999999999886</v>
      </c>
      <c r="N25" s="52">
        <f t="array" ref="N25">_xlfn.IFS(F25&lt;$I$2,($I$2-F25)/0.1*$I$4,AND(F25&gt;$I$2,F25&lt;=$K$2),(F25-$I$2)/0.1*$J$4,F25&gt;$K$2,(F25-$K$2)/0.1*$K$4+($K$2-$I$2)/0.1*$J$4)</f>
        <v>2.5</v>
      </c>
      <c r="O25" s="52">
        <f t="array" ref="O25">_xlfn.IFS(AND(G25&lt;$L$2,G25&gt;=1),($L$2-G25)/0.1*$L$4,G25&lt;1,($L$2-1)/0.1*$L$4,G25&gt;$L$2,(G25-$L$2)/0.1*$M$4)</f>
        <v>1.3999999999999968</v>
      </c>
      <c r="P25" s="52">
        <f t="array" ref="P25">_xlfn.IFS(AND(H25&lt;=$O$2,H25&gt;$N$2),(H25-$N$2)/0.01*$N$4,H25&lt;=$N$2,0,H25&gt;$O$2,(H25-$O$2)/0.01*$O$4+($O$2-$N$2)/0.01*$N$4)</f>
        <v>-12.999999999999998</v>
      </c>
      <c r="Q25" s="52">
        <f t="array" ref="Q25">_xlfn.IFS(AND(I25&lt;=$Q$2,I25&gt;$P$2),(I25-$P$2)/0.01*$P$4,I25&lt;=$P$2,0,I25&gt;$Q$2,(I25-$Q$2)/0.01*$Q$4+($Q$2-$P$2)/0.01*$P$4)</f>
        <v>0</v>
      </c>
      <c r="R25" s="51">
        <f>SUM(K25,$N25:$Q25)</f>
        <v>-8.0000000000000071</v>
      </c>
      <c r="S25" s="52">
        <f t="shared" si="0"/>
        <v>-7.4500000000000099</v>
      </c>
      <c r="T25" s="53">
        <f t="shared" si="0"/>
        <v>-6.9000000000000128</v>
      </c>
      <c r="U25" s="54">
        <v>15</v>
      </c>
      <c r="V25" s="15">
        <v>761</v>
      </c>
      <c r="W25" s="55">
        <f t="shared" si="3"/>
        <v>808.77137908638235</v>
      </c>
      <c r="X25" s="56">
        <f t="shared" si="3"/>
        <v>808.2213790863824</v>
      </c>
      <c r="Y25" s="57">
        <f t="shared" si="3"/>
        <v>807.67137908638233</v>
      </c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</row>
    <row r="26" spans="1:81">
      <c r="A26" s="10"/>
      <c r="B26" s="10"/>
      <c r="D26" s="46"/>
      <c r="E26" s="58"/>
      <c r="F26" s="52"/>
      <c r="G26" s="52"/>
      <c r="H26" s="59"/>
      <c r="I26" s="59"/>
      <c r="J26" s="60"/>
      <c r="K26" s="51"/>
      <c r="L26" s="52"/>
      <c r="M26" s="52"/>
      <c r="N26" s="52"/>
      <c r="O26" s="52"/>
      <c r="P26" s="52"/>
      <c r="Q26" s="52"/>
      <c r="R26" s="51"/>
      <c r="S26" s="52"/>
      <c r="T26" s="53"/>
      <c r="U26" s="54"/>
      <c r="V26" s="94" t="s">
        <v>35</v>
      </c>
      <c r="W26" s="14" t="str">
        <f>INDEX(D11:D22,MATCH(MIN(W11:W23),W11:W23,0))</f>
        <v>超特粉</v>
      </c>
      <c r="X26" s="10" t="str">
        <f>INDEX(D11:D22,MATCH(MIN(X11:X23),X11:X23,0))</f>
        <v>罗伊山粉</v>
      </c>
      <c r="Y26" s="15" t="str">
        <f>INDEX(D11:D22,MATCH(MIN(Y11:Y23),Y11:Y23,0))</f>
        <v>卡粉</v>
      </c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</row>
    <row r="27" spans="1:81" ht="14.4" thickBot="1">
      <c r="A27" s="10"/>
      <c r="B27" s="10"/>
      <c r="V27" s="95"/>
      <c r="W27" s="96">
        <f>MIN(W11:W23)</f>
        <v>804.72527472527486</v>
      </c>
      <c r="X27" s="97">
        <f>MIN(X11:X23)</f>
        <v>814.47752197802197</v>
      </c>
      <c r="Y27" s="98">
        <f>MIN(Y11:Y23)</f>
        <v>807.18293736501084</v>
      </c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</row>
    <row r="28" spans="1:81" ht="14.4" thickTop="1">
      <c r="A28" s="10"/>
      <c r="B28" s="10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</row>
    <row r="29" spans="1:81">
      <c r="A29" s="10"/>
      <c r="B29" s="10"/>
      <c r="V29" s="60"/>
      <c r="W29" s="55"/>
      <c r="X29" s="55"/>
      <c r="Y29" s="55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</row>
    <row r="30" spans="1:81"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81"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AQ31" s="61"/>
      <c r="AR31" s="61"/>
    </row>
    <row r="32" spans="1:81">
      <c r="D32" s="99" t="s">
        <v>36</v>
      </c>
      <c r="E32" s="100"/>
      <c r="F32" s="100"/>
      <c r="G32" s="100"/>
      <c r="H32" s="101"/>
      <c r="I32" s="8"/>
      <c r="J32" s="8"/>
      <c r="K32" s="8"/>
      <c r="L32" s="99" t="s">
        <v>37</v>
      </c>
      <c r="M32" s="100"/>
      <c r="N32" s="100"/>
      <c r="O32" s="100"/>
      <c r="P32" s="101"/>
      <c r="Q32" s="8"/>
      <c r="T32" s="99" t="s">
        <v>38</v>
      </c>
      <c r="U32" s="100"/>
      <c r="V32" s="100"/>
      <c r="W32" s="101"/>
      <c r="AQ32" s="61"/>
      <c r="AR32" s="61"/>
    </row>
    <row r="33" spans="4:44">
      <c r="D33" s="102"/>
      <c r="E33" s="103" t="s">
        <v>39</v>
      </c>
      <c r="F33" s="103" t="s">
        <v>18</v>
      </c>
      <c r="G33" s="103" t="s">
        <v>9</v>
      </c>
      <c r="H33" s="103" t="s">
        <v>19</v>
      </c>
      <c r="I33" s="8"/>
      <c r="J33" s="8"/>
      <c r="K33" s="8"/>
      <c r="L33" s="102"/>
      <c r="M33" s="103" t="s">
        <v>39</v>
      </c>
      <c r="N33" s="103" t="s">
        <v>18</v>
      </c>
      <c r="O33" s="103" t="s">
        <v>9</v>
      </c>
      <c r="P33" s="103" t="s">
        <v>19</v>
      </c>
      <c r="Q33" s="8"/>
      <c r="T33" s="102"/>
      <c r="U33" s="103" t="s">
        <v>39</v>
      </c>
      <c r="V33" s="103" t="s">
        <v>9</v>
      </c>
      <c r="W33" s="103" t="s">
        <v>39</v>
      </c>
      <c r="X33" s="104"/>
      <c r="AQ33" s="61"/>
      <c r="AR33" s="61"/>
    </row>
    <row r="34" spans="4:44">
      <c r="D34" s="103" t="s">
        <v>20</v>
      </c>
      <c r="E34" s="105">
        <v>5</v>
      </c>
      <c r="F34" s="105" t="e">
        <f>-#REF!-#REF!</f>
        <v>#REF!</v>
      </c>
      <c r="G34" s="105" t="e">
        <f>-#REF!-#REF!</f>
        <v>#REF!</v>
      </c>
      <c r="H34" s="105" t="e">
        <f>-#REF!-#REF!</f>
        <v>#REF!</v>
      </c>
      <c r="I34" s="8"/>
      <c r="J34" s="8"/>
      <c r="K34" s="8"/>
      <c r="L34" s="103" t="s">
        <v>20</v>
      </c>
      <c r="M34" s="105">
        <f t="shared" ref="M34:P39" si="4">E$40-E34</f>
        <v>155.5</v>
      </c>
      <c r="N34" s="105" t="e">
        <f t="shared" si="4"/>
        <v>#REF!</v>
      </c>
      <c r="O34" s="105" t="e">
        <f t="shared" si="4"/>
        <v>#REF!</v>
      </c>
      <c r="P34" s="105" t="e">
        <f t="shared" si="4"/>
        <v>#REF!</v>
      </c>
      <c r="Q34" s="8"/>
      <c r="T34" s="103" t="s">
        <v>20</v>
      </c>
      <c r="U34" s="105">
        <f>M34</f>
        <v>155.5</v>
      </c>
      <c r="V34" s="105" t="e">
        <f>O34</f>
        <v>#REF!</v>
      </c>
      <c r="W34" s="105" t="e">
        <f>#REF!-$V$16</f>
        <v>#REF!</v>
      </c>
      <c r="X34" s="104"/>
      <c r="AQ34" s="61"/>
      <c r="AR34" s="61"/>
    </row>
    <row r="35" spans="4:44">
      <c r="D35" s="103" t="s">
        <v>21</v>
      </c>
      <c r="E35" s="105">
        <v>-5</v>
      </c>
      <c r="F35" s="105">
        <f>-R11-$U11</f>
        <v>5.9999999999999742</v>
      </c>
      <c r="G35" s="105">
        <f>-S11-$U11</f>
        <v>4.99999999999996</v>
      </c>
      <c r="H35" s="105">
        <f>-T11-$U11</f>
        <v>3.9999999999999458</v>
      </c>
      <c r="I35" s="8"/>
      <c r="J35" s="8"/>
      <c r="K35" s="8"/>
      <c r="L35" s="103" t="s">
        <v>21</v>
      </c>
      <c r="M35" s="105">
        <f t="shared" si="4"/>
        <v>165.5</v>
      </c>
      <c r="N35" s="105">
        <f t="shared" si="4"/>
        <v>132.0000000000002</v>
      </c>
      <c r="O35" s="105">
        <f t="shared" si="4"/>
        <v>155.50000000000026</v>
      </c>
      <c r="P35" s="105">
        <f t="shared" si="4"/>
        <v>179.00000000000031</v>
      </c>
      <c r="Q35" s="8"/>
      <c r="T35" s="103" t="s">
        <v>21</v>
      </c>
      <c r="U35" s="105">
        <f t="shared" ref="U35:U43" si="5">M35</f>
        <v>165.5</v>
      </c>
      <c r="V35" s="105">
        <f t="shared" ref="V35:V43" si="6">O35</f>
        <v>155.50000000000026</v>
      </c>
      <c r="W35" s="105">
        <f>V11-$V$16</f>
        <v>141</v>
      </c>
      <c r="X35" s="104"/>
      <c r="AQ35" s="61"/>
      <c r="AR35" s="61"/>
    </row>
    <row r="36" spans="4:44">
      <c r="D36" s="103" t="s">
        <v>22</v>
      </c>
      <c r="E36" s="105">
        <v>31.000000000000014</v>
      </c>
      <c r="F36" s="105">
        <f>-R12-$U12</f>
        <v>6.4999999999999947</v>
      </c>
      <c r="G36" s="105">
        <f>-S12-$U12</f>
        <v>8.9999999999999947</v>
      </c>
      <c r="H36" s="105">
        <f>-T12-$U12</f>
        <v>11.499999999999995</v>
      </c>
      <c r="I36" s="8"/>
      <c r="J36" s="8"/>
      <c r="K36" s="8"/>
      <c r="L36" s="103" t="s">
        <v>22</v>
      </c>
      <c r="M36" s="105">
        <f t="shared" si="4"/>
        <v>129.5</v>
      </c>
      <c r="N36" s="105">
        <f t="shared" si="4"/>
        <v>131.50000000000017</v>
      </c>
      <c r="O36" s="105">
        <f t="shared" si="4"/>
        <v>151.50000000000023</v>
      </c>
      <c r="P36" s="105">
        <f t="shared" si="4"/>
        <v>171.50000000000026</v>
      </c>
      <c r="Q36" s="8"/>
      <c r="T36" s="103" t="s">
        <v>22</v>
      </c>
      <c r="U36" s="105">
        <f t="shared" si="5"/>
        <v>129.5</v>
      </c>
      <c r="V36" s="105">
        <f t="shared" si="6"/>
        <v>151.50000000000023</v>
      </c>
      <c r="W36" s="105">
        <f>V12-$V$16</f>
        <v>148</v>
      </c>
      <c r="X36" s="104"/>
      <c r="AQ36" s="61"/>
      <c r="AR36" s="61"/>
    </row>
    <row r="37" spans="4:44">
      <c r="D37" s="103" t="s">
        <v>40</v>
      </c>
      <c r="E37" s="105">
        <v>47.5</v>
      </c>
      <c r="F37" s="105">
        <f>-R13-$U13</f>
        <v>59.500000000000028</v>
      </c>
      <c r="G37" s="105">
        <f>-S13-$U13</f>
        <v>63.000000000000043</v>
      </c>
      <c r="H37" s="105">
        <f>-T13-$U13</f>
        <v>66.500000000000057</v>
      </c>
      <c r="I37" s="8"/>
      <c r="J37" s="8"/>
      <c r="K37" s="8"/>
      <c r="L37" s="103" t="s">
        <v>40</v>
      </c>
      <c r="M37" s="105">
        <f t="shared" si="4"/>
        <v>113</v>
      </c>
      <c r="N37" s="105">
        <f t="shared" si="4"/>
        <v>78.500000000000142</v>
      </c>
      <c r="O37" s="105">
        <f t="shared" si="4"/>
        <v>97.500000000000185</v>
      </c>
      <c r="P37" s="105">
        <f t="shared" si="4"/>
        <v>116.5000000000002</v>
      </c>
      <c r="Q37" s="8"/>
      <c r="T37" s="103" t="s">
        <v>40</v>
      </c>
      <c r="U37" s="106">
        <f t="shared" si="5"/>
        <v>113</v>
      </c>
      <c r="V37" s="106">
        <f t="shared" si="6"/>
        <v>97.500000000000185</v>
      </c>
      <c r="W37" s="106">
        <f>V13-$V$16</f>
        <v>103</v>
      </c>
      <c r="X37" s="104"/>
      <c r="AQ37" s="61"/>
      <c r="AR37" s="61"/>
    </row>
    <row r="38" spans="4:44" ht="14.4" thickBot="1">
      <c r="D38" s="103" t="s">
        <v>24</v>
      </c>
      <c r="E38" s="105">
        <v>28.999999999999986</v>
      </c>
      <c r="F38" s="105">
        <f>-R14-$U14</f>
        <v>-1.0004999999999598</v>
      </c>
      <c r="G38" s="105">
        <f>-S14-$U14</f>
        <v>0.49950000000006156</v>
      </c>
      <c r="H38" s="105">
        <f>-T14-$U14</f>
        <v>1.9995000000000829</v>
      </c>
      <c r="I38" s="8"/>
      <c r="J38" s="8"/>
      <c r="K38" s="8"/>
      <c r="L38" s="103" t="s">
        <v>24</v>
      </c>
      <c r="M38" s="105">
        <f t="shared" si="4"/>
        <v>131.5</v>
      </c>
      <c r="N38" s="105">
        <f t="shared" si="4"/>
        <v>139.00050000000013</v>
      </c>
      <c r="O38" s="105">
        <f t="shared" si="4"/>
        <v>160.00050000000016</v>
      </c>
      <c r="P38" s="105">
        <f t="shared" si="4"/>
        <v>181.00050000000016</v>
      </c>
      <c r="Q38" s="8"/>
      <c r="T38" s="103" t="s">
        <v>24</v>
      </c>
      <c r="U38" s="105">
        <f t="shared" si="5"/>
        <v>131.5</v>
      </c>
      <c r="V38" s="105">
        <f t="shared" si="6"/>
        <v>160.00050000000016</v>
      </c>
      <c r="W38" s="105">
        <f>V14-$V$16</f>
        <v>134</v>
      </c>
      <c r="X38" s="104"/>
      <c r="AQ38" s="61"/>
      <c r="AR38" s="61"/>
    </row>
    <row r="39" spans="4:44" ht="14.4" thickBot="1">
      <c r="D39" s="103" t="s">
        <v>25</v>
      </c>
      <c r="E39" s="105">
        <v>-25</v>
      </c>
      <c r="F39" s="105">
        <f>-R15-$U15</f>
        <v>-39</v>
      </c>
      <c r="G39" s="105">
        <f>-S15-$U15</f>
        <v>-46.5</v>
      </c>
      <c r="H39" s="105">
        <f>-T15-$U15</f>
        <v>-54</v>
      </c>
      <c r="I39" s="8"/>
      <c r="J39" s="107"/>
      <c r="K39" s="8"/>
      <c r="L39" s="103" t="s">
        <v>25</v>
      </c>
      <c r="M39" s="105">
        <f t="shared" si="4"/>
        <v>185.5</v>
      </c>
      <c r="N39" s="105">
        <f t="shared" si="4"/>
        <v>177.00000000000017</v>
      </c>
      <c r="O39" s="105">
        <f t="shared" si="4"/>
        <v>207.00000000000023</v>
      </c>
      <c r="P39" s="105">
        <f t="shared" si="4"/>
        <v>237.00000000000026</v>
      </c>
      <c r="Q39" s="8"/>
      <c r="T39" s="103" t="s">
        <v>25</v>
      </c>
      <c r="U39" s="105">
        <f t="shared" si="5"/>
        <v>185.5</v>
      </c>
      <c r="V39" s="105">
        <f t="shared" si="6"/>
        <v>207.00000000000023</v>
      </c>
      <c r="W39" s="105">
        <f>V15-$V$16</f>
        <v>218</v>
      </c>
      <c r="X39" s="104"/>
      <c r="AQ39" s="61"/>
      <c r="AR39" s="61"/>
    </row>
    <row r="40" spans="4:44">
      <c r="D40" s="103" t="s">
        <v>26</v>
      </c>
      <c r="E40" s="105">
        <v>160.5</v>
      </c>
      <c r="F40" s="105">
        <f>-R16-$U16</f>
        <v>138.00000000000017</v>
      </c>
      <c r="G40" s="105">
        <f>-S16-$U16</f>
        <v>160.50000000000023</v>
      </c>
      <c r="H40" s="105">
        <f>-T16-$U16</f>
        <v>183.00000000000026</v>
      </c>
      <c r="I40" s="8"/>
      <c r="J40" s="8"/>
      <c r="K40" s="8"/>
      <c r="L40" s="103" t="s">
        <v>27</v>
      </c>
      <c r="M40" s="105">
        <f t="shared" ref="M40:P43" si="7">E$40-E41</f>
        <v>38.499999999999972</v>
      </c>
      <c r="N40" s="105">
        <f t="shared" si="7"/>
        <v>66.500000000000057</v>
      </c>
      <c r="O40" s="105">
        <f t="shared" si="7"/>
        <v>75.000000000000085</v>
      </c>
      <c r="P40" s="105">
        <f t="shared" si="7"/>
        <v>83.500000000000114</v>
      </c>
      <c r="Q40" s="8"/>
      <c r="T40" s="103" t="s">
        <v>27</v>
      </c>
      <c r="U40" s="106">
        <f t="shared" si="5"/>
        <v>38.499999999999972</v>
      </c>
      <c r="V40" s="106">
        <f t="shared" si="6"/>
        <v>75.000000000000085</v>
      </c>
      <c r="W40" s="106">
        <f>V17-$V$16</f>
        <v>71</v>
      </c>
      <c r="X40" s="104"/>
      <c r="AQ40" s="61"/>
      <c r="AR40" s="61"/>
    </row>
    <row r="41" spans="4:44">
      <c r="D41" s="103" t="s">
        <v>27</v>
      </c>
      <c r="E41" s="105">
        <v>122.00000000000003</v>
      </c>
      <c r="F41" s="105">
        <f>-R17-$U17</f>
        <v>71.500000000000114</v>
      </c>
      <c r="G41" s="105">
        <f>-S17-$U17</f>
        <v>85.500000000000142</v>
      </c>
      <c r="H41" s="105">
        <f>-T17-$U17</f>
        <v>99.500000000000142</v>
      </c>
      <c r="I41" s="8"/>
      <c r="J41" s="8"/>
      <c r="K41" s="8"/>
      <c r="L41" s="108" t="s">
        <v>28</v>
      </c>
      <c r="M41" s="105">
        <f t="shared" si="7"/>
        <v>221.49999999999994</v>
      </c>
      <c r="N41" s="105">
        <f t="shared" si="7"/>
        <v>246.10000000000016</v>
      </c>
      <c r="O41" s="105">
        <f t="shared" si="7"/>
        <v>288.60000000000025</v>
      </c>
      <c r="P41" s="105">
        <f t="shared" si="7"/>
        <v>331.10000000000025</v>
      </c>
      <c r="Q41" s="8"/>
      <c r="T41" s="108" t="s">
        <v>28</v>
      </c>
      <c r="U41" s="105">
        <f t="shared" si="5"/>
        <v>221.49999999999994</v>
      </c>
      <c r="V41" s="105">
        <f t="shared" si="6"/>
        <v>288.60000000000025</v>
      </c>
      <c r="W41" s="105">
        <f>V18-$V$16</f>
        <v>278</v>
      </c>
      <c r="X41" s="104"/>
      <c r="AQ41" s="61"/>
      <c r="AR41" s="61"/>
    </row>
    <row r="42" spans="4:44">
      <c r="D42" s="108" t="s">
        <v>28</v>
      </c>
      <c r="E42" s="105">
        <v>-60.999999999999943</v>
      </c>
      <c r="F42" s="105">
        <f>-R18-$U18</f>
        <v>-108.1</v>
      </c>
      <c r="G42" s="105">
        <f>-S18-$U18</f>
        <v>-128.1</v>
      </c>
      <c r="H42" s="105">
        <f>-T18-$U18</f>
        <v>-148.1</v>
      </c>
      <c r="I42" s="8"/>
      <c r="J42" s="8"/>
      <c r="K42" s="8"/>
      <c r="L42" s="108" t="s">
        <v>29</v>
      </c>
      <c r="M42" s="105">
        <f t="shared" si="7"/>
        <v>72.500000000000014</v>
      </c>
      <c r="N42" s="105">
        <f t="shared" si="7"/>
        <v>49.500000000000099</v>
      </c>
      <c r="O42" s="105">
        <f t="shared" si="7"/>
        <v>51.000000000000142</v>
      </c>
      <c r="P42" s="105">
        <f t="shared" si="7"/>
        <v>52.500000000000142</v>
      </c>
      <c r="Q42" s="8"/>
      <c r="T42" s="108" t="s">
        <v>29</v>
      </c>
      <c r="U42" s="105">
        <f t="shared" si="5"/>
        <v>72.500000000000014</v>
      </c>
      <c r="V42" s="105">
        <f t="shared" si="6"/>
        <v>51.000000000000142</v>
      </c>
      <c r="W42" s="105">
        <f>V19-$V$16</f>
        <v>-614</v>
      </c>
      <c r="X42" s="104"/>
    </row>
    <row r="43" spans="4:44">
      <c r="D43" s="108" t="s">
        <v>29</v>
      </c>
      <c r="E43" s="105">
        <v>87.999999999999986</v>
      </c>
      <c r="F43" s="105">
        <f>-R19-$U19</f>
        <v>88.500000000000071</v>
      </c>
      <c r="G43" s="105">
        <f>-S19-$U19</f>
        <v>109.50000000000009</v>
      </c>
      <c r="H43" s="105">
        <f>-T19-$U19</f>
        <v>130.50000000000011</v>
      </c>
      <c r="I43" s="8"/>
      <c r="J43" s="8"/>
      <c r="K43" s="8"/>
      <c r="L43" s="108" t="s">
        <v>41</v>
      </c>
      <c r="M43" s="105">
        <f t="shared" si="7"/>
        <v>255.5</v>
      </c>
      <c r="N43" s="105">
        <f t="shared" si="7"/>
        <v>198.50000000000017</v>
      </c>
      <c r="O43" s="105">
        <f t="shared" si="7"/>
        <v>243.50000000000023</v>
      </c>
      <c r="P43" s="105">
        <f t="shared" si="7"/>
        <v>288.50000000000023</v>
      </c>
      <c r="Q43" s="8"/>
      <c r="T43" s="108" t="s">
        <v>41</v>
      </c>
      <c r="U43" s="105">
        <f t="shared" si="5"/>
        <v>255.5</v>
      </c>
      <c r="V43" s="105">
        <f t="shared" si="6"/>
        <v>243.50000000000023</v>
      </c>
      <c r="W43" s="105">
        <f>V20-$V$16</f>
        <v>243</v>
      </c>
      <c r="X43" s="104"/>
    </row>
    <row r="44" spans="4:44">
      <c r="D44" s="108" t="s">
        <v>41</v>
      </c>
      <c r="E44" s="105">
        <v>-95</v>
      </c>
      <c r="F44" s="105">
        <f>-R20-$U20</f>
        <v>-60.499999999999993</v>
      </c>
      <c r="G44" s="105">
        <f>-S20-$U20</f>
        <v>-83</v>
      </c>
      <c r="H44" s="105">
        <f>-T20-$U20</f>
        <v>-105.5</v>
      </c>
      <c r="I44" s="8"/>
      <c r="J44" s="8"/>
      <c r="K44" s="8"/>
      <c r="L44" s="8"/>
      <c r="M44" s="8"/>
      <c r="N44" s="8"/>
      <c r="O44" s="8"/>
      <c r="P44" s="8"/>
      <c r="Q44" s="8"/>
    </row>
    <row r="45" spans="4:44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4:44"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4:44"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spans="4:44"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pans="4:17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4:17"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spans="4:17"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spans="4:17"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spans="4:17"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4:17"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4:17"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4:17"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4:17"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4:17"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4:17"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spans="4:17"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  <row r="61" spans="4:17"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</row>
    <row r="62" spans="4:17"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</row>
    <row r="63" spans="4:17"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</row>
    <row r="64" spans="4:17"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 spans="4:17"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</row>
    <row r="66" spans="4:17"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</row>
    <row r="67" spans="4:17"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</row>
    <row r="68" spans="4:17"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</row>
    <row r="69" spans="4:17"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</row>
    <row r="70" spans="4:17"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</row>
    <row r="71" spans="4:17"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</row>
    <row r="72" spans="4:17"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 spans="4:17"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</row>
    <row r="74" spans="4:17"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</row>
    <row r="75" spans="4:17"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</row>
    <row r="76" spans="4:17"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</row>
    <row r="77" spans="4:17"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</row>
    <row r="78" spans="4:17"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</row>
    <row r="79" spans="4:17"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</row>
    <row r="80" spans="4:17"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</row>
    <row r="81" spans="4:17"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</row>
    <row r="82" spans="4:17"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</row>
    <row r="83" spans="4:17"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</row>
    <row r="84" spans="4:17"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</row>
    <row r="85" spans="4:17"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</row>
    <row r="86" spans="4:17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</row>
    <row r="87" spans="4:17"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</row>
    <row r="88" spans="4:17"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</row>
    <row r="89" spans="4:17"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</row>
    <row r="90" spans="4:17"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</row>
    <row r="91" spans="4:17"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</row>
    <row r="92" spans="4:17"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</row>
    <row r="93" spans="4:17"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</row>
    <row r="94" spans="4:17"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</row>
    <row r="95" spans="4:17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</row>
    <row r="96" spans="4:17"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</row>
    <row r="97" spans="1:17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</row>
    <row r="98" spans="1:17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</row>
    <row r="99" spans="1:17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</row>
    <row r="100" spans="1:17"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</row>
    <row r="101" spans="1:17"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</row>
    <row r="102" spans="1:17"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</row>
    <row r="103" spans="1:17"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</row>
    <row r="104" spans="1:17"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</row>
    <row r="105" spans="1:17"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</row>
    <row r="106" spans="1:17"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</row>
    <row r="107" spans="1:17">
      <c r="A107" s="10"/>
      <c r="B107" s="10"/>
    </row>
    <row r="108" spans="1:17">
      <c r="A108" s="10"/>
      <c r="B108" s="10"/>
    </row>
    <row r="109" spans="1:17">
      <c r="A109" s="10"/>
      <c r="B109" s="10"/>
    </row>
    <row r="110" spans="1:17">
      <c r="A110" s="10"/>
      <c r="B110" s="10"/>
    </row>
    <row r="111" spans="1:17">
      <c r="A111" s="10"/>
      <c r="B111" s="10"/>
    </row>
    <row r="112" spans="1:17">
      <c r="A112" s="10"/>
      <c r="B112" s="10"/>
    </row>
    <row r="113" spans="1:77">
      <c r="A113" s="10"/>
      <c r="B113" s="10"/>
    </row>
    <row r="114" spans="1:77">
      <c r="A114" s="10"/>
      <c r="B114" s="10"/>
    </row>
    <row r="115" spans="1:77">
      <c r="A115" s="10"/>
      <c r="B115" s="10"/>
    </row>
    <row r="116" spans="1:77">
      <c r="A116" s="10"/>
      <c r="B116" s="10"/>
    </row>
    <row r="117" spans="1:77"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</row>
    <row r="118" spans="1:77"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</row>
    <row r="119" spans="1:77"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</row>
    <row r="120" spans="1:77"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</row>
    <row r="121" spans="1:77"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</row>
    <row r="122" spans="1:77"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</row>
    <row r="123" spans="1:77"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</row>
    <row r="124" spans="1:77"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</row>
    <row r="125" spans="1:77"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</row>
    <row r="126" spans="1:77"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</row>
    <row r="127" spans="1:77">
      <c r="A127" s="10"/>
      <c r="B127" s="10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  <c r="BV127" s="61"/>
      <c r="BW127" s="61"/>
      <c r="BX127" s="61"/>
      <c r="BY127" s="61"/>
    </row>
    <row r="128" spans="1:77">
      <c r="A128" s="10"/>
      <c r="B128" s="10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/>
    </row>
    <row r="129" spans="1:77">
      <c r="A129" s="10"/>
      <c r="B129" s="10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/>
    </row>
    <row r="130" spans="1:77">
      <c r="A130" s="10"/>
      <c r="B130" s="10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  <c r="BY130" s="61"/>
    </row>
    <row r="131" spans="1:77">
      <c r="A131" s="10"/>
      <c r="B131" s="10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  <c r="BX131" s="61"/>
      <c r="BY131" s="61"/>
    </row>
    <row r="132" spans="1:77">
      <c r="A132" s="10"/>
      <c r="B132" s="10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  <c r="BY132" s="61"/>
    </row>
    <row r="133" spans="1:77">
      <c r="A133" s="10"/>
      <c r="B133" s="10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  <c r="BV133" s="61"/>
      <c r="BW133" s="61"/>
      <c r="BX133" s="61"/>
      <c r="BY133" s="61"/>
    </row>
    <row r="134" spans="1:77">
      <c r="A134" s="10"/>
      <c r="B134" s="10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  <c r="BX134" s="61"/>
      <c r="BY134" s="61"/>
    </row>
    <row r="135" spans="1:77">
      <c r="A135" s="10"/>
      <c r="B135" s="10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  <c r="BX135" s="61"/>
      <c r="BY135" s="61"/>
    </row>
    <row r="136" spans="1:77">
      <c r="A136" s="10"/>
      <c r="B136" s="10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  <c r="BY136" s="61"/>
    </row>
    <row r="137" spans="1:77">
      <c r="A137" s="10"/>
      <c r="B137" s="10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  <c r="BY137" s="61"/>
    </row>
    <row r="138" spans="1:77">
      <c r="A138" s="10"/>
      <c r="B138" s="10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  <c r="BV138" s="61"/>
      <c r="BW138" s="61"/>
      <c r="BX138" s="61"/>
      <c r="BY138" s="61"/>
    </row>
    <row r="139" spans="1:77">
      <c r="A139" s="10"/>
      <c r="B139" s="10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  <c r="BV139" s="61"/>
      <c r="BW139" s="61"/>
      <c r="BX139" s="61"/>
      <c r="BY139" s="61"/>
    </row>
    <row r="140" spans="1:77">
      <c r="A140" s="10"/>
      <c r="B140" s="10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  <c r="BV140" s="61"/>
      <c r="BW140" s="61"/>
      <c r="BX140" s="61"/>
      <c r="BY140" s="61"/>
    </row>
    <row r="141" spans="1:77">
      <c r="A141" s="10"/>
      <c r="B141" s="10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/>
    </row>
    <row r="142" spans="1:77">
      <c r="A142" s="10"/>
      <c r="B142" s="10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/>
    </row>
    <row r="143" spans="1:77">
      <c r="A143" s="10"/>
      <c r="B143" s="10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  <c r="BV143" s="61"/>
      <c r="BW143" s="61"/>
      <c r="BX143" s="61"/>
      <c r="BY143" s="61"/>
    </row>
    <row r="144" spans="1:77">
      <c r="A144" s="10"/>
      <c r="B144" s="10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  <c r="BV144" s="61"/>
      <c r="BW144" s="61"/>
      <c r="BX144" s="61"/>
      <c r="BY144" s="61"/>
    </row>
    <row r="145" spans="1:77">
      <c r="A145" s="10"/>
      <c r="B145" s="10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  <c r="BV145" s="61"/>
      <c r="BW145" s="61"/>
      <c r="BX145" s="61"/>
      <c r="BY145" s="61"/>
    </row>
    <row r="146" spans="1:77">
      <c r="A146" s="10"/>
      <c r="B146" s="10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  <c r="BV146" s="61"/>
      <c r="BW146" s="61"/>
      <c r="BX146" s="61"/>
      <c r="BY146" s="61"/>
    </row>
    <row r="147" spans="1:77">
      <c r="A147" s="10"/>
      <c r="B147" s="10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  <c r="BV147" s="61"/>
      <c r="BW147" s="61"/>
      <c r="BX147" s="61"/>
      <c r="BY147" s="61"/>
    </row>
    <row r="148" spans="1:77">
      <c r="A148" s="10"/>
      <c r="B148" s="10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/>
      <c r="BW148" s="61"/>
      <c r="BX148" s="61"/>
      <c r="BY148" s="61"/>
    </row>
    <row r="149" spans="1:77">
      <c r="A149" s="10"/>
      <c r="B149" s="10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/>
    </row>
    <row r="150" spans="1:77">
      <c r="A150" s="10"/>
      <c r="B150" s="10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/>
    </row>
    <row r="151" spans="1:77">
      <c r="A151" s="10"/>
      <c r="B151" s="10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  <c r="BV151" s="61"/>
      <c r="BW151" s="61"/>
      <c r="BX151" s="61"/>
      <c r="BY151" s="61"/>
    </row>
    <row r="152" spans="1:77">
      <c r="A152" s="10"/>
      <c r="B152" s="10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  <c r="BV152" s="61"/>
      <c r="BW152" s="61"/>
      <c r="BX152" s="61"/>
      <c r="BY152" s="61"/>
    </row>
    <row r="153" spans="1:77">
      <c r="A153" s="10"/>
      <c r="B153" s="10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  <c r="BV153" s="61"/>
      <c r="BW153" s="61"/>
      <c r="BX153" s="61"/>
      <c r="BY153" s="61"/>
    </row>
    <row r="154" spans="1:77">
      <c r="A154" s="10"/>
      <c r="B154" s="10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  <c r="BV154" s="61"/>
      <c r="BW154" s="61"/>
      <c r="BX154" s="61"/>
      <c r="BY154" s="61"/>
    </row>
    <row r="155" spans="1:77">
      <c r="A155" s="10"/>
      <c r="B155" s="10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  <c r="BY155" s="61"/>
    </row>
    <row r="156" spans="1:77">
      <c r="A156" s="10"/>
      <c r="B156" s="10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  <c r="BV156" s="61"/>
      <c r="BW156" s="61"/>
      <c r="BX156" s="61"/>
      <c r="BY156" s="61"/>
    </row>
    <row r="157" spans="1:77">
      <c r="A157" s="10"/>
      <c r="B157" s="10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  <c r="BV157" s="61"/>
      <c r="BW157" s="61"/>
      <c r="BX157" s="61"/>
      <c r="BY157" s="61"/>
    </row>
    <row r="158" spans="1:77">
      <c r="A158" s="10"/>
      <c r="B158" s="10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  <c r="BV158" s="61"/>
      <c r="BW158" s="61"/>
      <c r="BX158" s="61"/>
      <c r="BY158" s="61"/>
    </row>
    <row r="159" spans="1:77">
      <c r="A159" s="10"/>
      <c r="B159" s="10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  <c r="BY159" s="61"/>
    </row>
    <row r="160" spans="1:77">
      <c r="A160" s="10"/>
      <c r="B160" s="10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  <c r="BV160" s="61"/>
      <c r="BW160" s="61"/>
      <c r="BX160" s="61"/>
      <c r="BY160" s="61"/>
    </row>
    <row r="161" spans="1:77">
      <c r="A161" s="10"/>
      <c r="B161" s="10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/>
      <c r="BX161" s="61"/>
      <c r="BY161" s="61"/>
    </row>
    <row r="162" spans="1:77">
      <c r="A162" s="10"/>
      <c r="B162" s="10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  <c r="BV162" s="61"/>
      <c r="BW162" s="61"/>
      <c r="BX162" s="61"/>
      <c r="BY162" s="61"/>
    </row>
    <row r="163" spans="1:77">
      <c r="A163" s="10"/>
      <c r="B163" s="10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  <c r="BV163" s="61"/>
      <c r="BW163" s="61"/>
      <c r="BX163" s="61"/>
      <c r="BY163" s="61"/>
    </row>
    <row r="164" spans="1:77">
      <c r="A164" s="10"/>
      <c r="B164" s="10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  <c r="BV164" s="61"/>
      <c r="BW164" s="61"/>
      <c r="BX164" s="61"/>
      <c r="BY164" s="61"/>
    </row>
    <row r="165" spans="1:77">
      <c r="A165" s="10"/>
      <c r="B165" s="10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  <c r="BY165" s="61"/>
    </row>
    <row r="166" spans="1:77">
      <c r="A166" s="10"/>
      <c r="B166" s="10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  <c r="BY166" s="61"/>
    </row>
    <row r="167" spans="1:77">
      <c r="A167" s="10"/>
      <c r="B167" s="10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  <c r="BV167" s="61"/>
      <c r="BW167" s="61"/>
      <c r="BX167" s="61"/>
      <c r="BY167" s="61"/>
    </row>
    <row r="168" spans="1:77">
      <c r="A168" s="10"/>
      <c r="B168" s="10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  <c r="BY168" s="61"/>
    </row>
    <row r="169" spans="1:77">
      <c r="A169" s="10"/>
      <c r="B169" s="10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  <c r="BV169" s="61"/>
      <c r="BW169" s="61"/>
      <c r="BX169" s="61"/>
      <c r="BY169" s="61"/>
    </row>
    <row r="170" spans="1:77">
      <c r="A170" s="10"/>
      <c r="B170" s="10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  <c r="BV170" s="61"/>
      <c r="BW170" s="61"/>
      <c r="BX170" s="61"/>
      <c r="BY170" s="61"/>
    </row>
    <row r="171" spans="1:77">
      <c r="A171" s="10"/>
      <c r="B171" s="10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  <c r="BV171" s="61"/>
      <c r="BW171" s="61"/>
      <c r="BX171" s="61"/>
      <c r="BY171" s="61"/>
    </row>
    <row r="172" spans="1:77">
      <c r="A172" s="10"/>
      <c r="B172" s="10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  <c r="BV172" s="61"/>
      <c r="BW172" s="61"/>
      <c r="BX172" s="61"/>
      <c r="BY172" s="61"/>
    </row>
    <row r="173" spans="1:77">
      <c r="A173" s="10"/>
      <c r="B173" s="10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  <c r="BV173" s="61"/>
      <c r="BW173" s="61"/>
      <c r="BX173" s="61"/>
      <c r="BY173" s="61"/>
    </row>
    <row r="174" spans="1:77">
      <c r="A174" s="10"/>
      <c r="B174" s="10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  <c r="BV174" s="61"/>
      <c r="BW174" s="61"/>
      <c r="BX174" s="61"/>
      <c r="BY174" s="61"/>
    </row>
    <row r="175" spans="1:77"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</row>
    <row r="176" spans="1:77"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</row>
    <row r="177" spans="4:17"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</row>
    <row r="178" spans="4:17"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</row>
    <row r="179" spans="4:17"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</row>
    <row r="180" spans="4:17"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</row>
    <row r="181" spans="4:17"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</row>
    <row r="182" spans="4:17"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</row>
    <row r="183" spans="4:17"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</row>
    <row r="184" spans="4:17"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</row>
    <row r="185" spans="4:17"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</row>
    <row r="186" spans="4:17"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</row>
    <row r="187" spans="4:17"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</row>
    <row r="188" spans="4:17"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</row>
    <row r="189" spans="4:17"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</row>
    <row r="190" spans="4:17"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</row>
    <row r="191" spans="4:17"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</row>
    <row r="192" spans="4:17"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</row>
    <row r="193" spans="1:77"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</row>
    <row r="194" spans="1:77"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</row>
    <row r="195" spans="1:77"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</row>
    <row r="196" spans="1:77"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</row>
    <row r="197" spans="1:77"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</row>
    <row r="198" spans="1:77"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</row>
    <row r="199" spans="1:77"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</row>
    <row r="200" spans="1:77"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</row>
    <row r="201" spans="1:77"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</row>
    <row r="202" spans="1:77"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</row>
    <row r="203" spans="1:77"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</row>
    <row r="204" spans="1:77"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</row>
    <row r="205" spans="1:77"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</row>
    <row r="206" spans="1:77"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</row>
    <row r="207" spans="1:77">
      <c r="A207" s="10"/>
      <c r="B207" s="10"/>
      <c r="AS207" s="61"/>
      <c r="AT207" s="61"/>
      <c r="AU207" s="61"/>
      <c r="AV207" s="61"/>
      <c r="AW207" s="61"/>
      <c r="AX207" s="61"/>
      <c r="AY207" s="61"/>
      <c r="AZ207" s="61"/>
      <c r="BA207" s="61"/>
      <c r="BB207" s="61"/>
      <c r="BC207" s="61"/>
      <c r="BD207" s="61"/>
      <c r="BE207" s="61"/>
      <c r="BF207" s="61"/>
      <c r="BG207" s="61"/>
      <c r="BH207" s="61"/>
      <c r="BI207" s="6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  <c r="BV207" s="61"/>
      <c r="BW207" s="61"/>
      <c r="BX207" s="61"/>
      <c r="BY207" s="61"/>
    </row>
    <row r="208" spans="1:77">
      <c r="A208" s="10"/>
      <c r="B208" s="10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61"/>
      <c r="BD208" s="61"/>
      <c r="BE208" s="61"/>
      <c r="BF208" s="61"/>
      <c r="BG208" s="61"/>
      <c r="BH208" s="61"/>
      <c r="BI208" s="6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/>
      <c r="BX208" s="61"/>
      <c r="BY208" s="61"/>
    </row>
    <row r="209" spans="1:77">
      <c r="A209" s="10"/>
      <c r="B209" s="10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6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  <c r="BY209" s="61"/>
    </row>
    <row r="210" spans="1:77">
      <c r="A210" s="10"/>
      <c r="B210" s="10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/>
      <c r="BD210" s="61"/>
      <c r="BE210" s="61"/>
      <c r="BF210" s="61"/>
      <c r="BG210" s="61"/>
      <c r="BH210" s="61"/>
      <c r="BI210" s="6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  <c r="BY210" s="61"/>
    </row>
    <row r="211" spans="1:77">
      <c r="A211" s="10"/>
      <c r="B211" s="10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61"/>
      <c r="BD211" s="61"/>
      <c r="BE211" s="61"/>
      <c r="BF211" s="61"/>
      <c r="BG211" s="61"/>
      <c r="BH211" s="61"/>
      <c r="BI211" s="6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  <c r="BY211" s="61"/>
    </row>
    <row r="212" spans="1:77">
      <c r="A212" s="10"/>
      <c r="B212" s="10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61"/>
      <c r="BD212" s="61"/>
      <c r="BE212" s="61"/>
      <c r="BF212" s="61"/>
      <c r="BG212" s="61"/>
      <c r="BH212" s="61"/>
      <c r="BI212" s="6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  <c r="BY212" s="61"/>
    </row>
    <row r="213" spans="1:77">
      <c r="A213" s="10"/>
      <c r="B213" s="10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  <c r="BY213" s="61"/>
    </row>
    <row r="214" spans="1:77">
      <c r="A214" s="10"/>
      <c r="B214" s="10"/>
      <c r="AS214" s="61"/>
      <c r="AT214" s="61"/>
      <c r="AU214" s="61"/>
      <c r="AV214" s="61"/>
      <c r="AW214" s="61"/>
      <c r="AX214" s="61"/>
      <c r="AY214" s="61"/>
      <c r="AZ214" s="61"/>
      <c r="BA214" s="61"/>
      <c r="BB214" s="61"/>
      <c r="BC214" s="61"/>
      <c r="BD214" s="61"/>
      <c r="BE214" s="61"/>
      <c r="BF214" s="61"/>
      <c r="BG214" s="61"/>
      <c r="BH214" s="61"/>
      <c r="BI214" s="6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  <c r="BY214" s="61"/>
    </row>
    <row r="215" spans="1:77">
      <c r="A215" s="10"/>
      <c r="B215" s="10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61"/>
      <c r="BD215" s="61"/>
      <c r="BE215" s="61"/>
      <c r="BF215" s="61"/>
      <c r="BG215" s="61"/>
      <c r="BH215" s="61"/>
      <c r="BI215" s="6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  <c r="BY215" s="61"/>
    </row>
    <row r="216" spans="1:77">
      <c r="A216" s="10"/>
      <c r="B216" s="10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/>
      <c r="BD216" s="61"/>
      <c r="BE216" s="61"/>
      <c r="BF216" s="61"/>
      <c r="BG216" s="61"/>
      <c r="BH216" s="61"/>
      <c r="BI216" s="6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  <c r="BY216" s="61"/>
    </row>
    <row r="217" spans="1:77">
      <c r="A217" s="10"/>
      <c r="B217" s="10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61"/>
      <c r="BD217" s="61"/>
      <c r="BE217" s="61"/>
      <c r="BF217" s="61"/>
      <c r="BG217" s="61"/>
      <c r="BH217" s="61"/>
      <c r="BI217" s="6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  <c r="BV217" s="61"/>
      <c r="BW217" s="61"/>
      <c r="BX217" s="61"/>
      <c r="BY217" s="61"/>
    </row>
    <row r="218" spans="1:77">
      <c r="A218" s="10"/>
      <c r="B218" s="10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61"/>
      <c r="BD218" s="61"/>
      <c r="BE218" s="61"/>
      <c r="BF218" s="61"/>
      <c r="BG218" s="61"/>
      <c r="BH218" s="61"/>
      <c r="BI218" s="6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  <c r="BY218" s="61"/>
    </row>
    <row r="219" spans="1:77">
      <c r="A219" s="10"/>
      <c r="B219" s="10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61"/>
      <c r="BD219" s="61"/>
      <c r="BE219" s="61"/>
      <c r="BF219" s="61"/>
      <c r="BG219" s="61"/>
      <c r="BH219" s="61"/>
      <c r="BI219" s="6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  <c r="BY219" s="61"/>
    </row>
    <row r="220" spans="1:77">
      <c r="A220" s="10"/>
      <c r="B220" s="10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6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  <c r="BY220" s="61"/>
    </row>
    <row r="221" spans="1:77">
      <c r="A221" s="10"/>
      <c r="B221" s="10"/>
      <c r="AS221" s="61"/>
      <c r="AT221" s="61"/>
      <c r="AU221" s="61"/>
      <c r="AV221" s="61"/>
      <c r="AW221" s="61"/>
      <c r="AX221" s="61"/>
      <c r="AY221" s="61"/>
      <c r="AZ221" s="61"/>
      <c r="BA221" s="61"/>
      <c r="BB221" s="61"/>
      <c r="BC221" s="61"/>
      <c r="BD221" s="61"/>
      <c r="BE221" s="61"/>
      <c r="BF221" s="61"/>
      <c r="BG221" s="61"/>
      <c r="BH221" s="61"/>
      <c r="BI221" s="6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  <c r="BY221" s="61"/>
    </row>
    <row r="222" spans="1:77">
      <c r="A222" s="10"/>
      <c r="B222" s="10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61"/>
      <c r="BI222" s="6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  <c r="BY222" s="61"/>
    </row>
    <row r="223" spans="1:77">
      <c r="A223" s="10"/>
      <c r="B223" s="10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  <c r="BI223" s="6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  <c r="BY223" s="61"/>
    </row>
    <row r="224" spans="1:77">
      <c r="A224" s="10"/>
      <c r="B224" s="10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61"/>
      <c r="BD224" s="61"/>
      <c r="BE224" s="61"/>
      <c r="BF224" s="61"/>
      <c r="BG224" s="61"/>
      <c r="BH224" s="61"/>
      <c r="BI224" s="6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  <c r="BY224" s="61"/>
    </row>
    <row r="225" spans="1:77">
      <c r="A225" s="10"/>
      <c r="B225" s="10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61"/>
      <c r="BI225" s="6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  <c r="BY225" s="61"/>
    </row>
    <row r="226" spans="1:77">
      <c r="A226" s="10"/>
      <c r="B226" s="10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61"/>
      <c r="BI226" s="6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  <c r="BV226" s="61"/>
      <c r="BW226" s="61"/>
      <c r="BX226" s="61"/>
      <c r="BY226" s="61"/>
    </row>
    <row r="227" spans="1:77">
      <c r="A227" s="10"/>
      <c r="B227" s="10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61"/>
      <c r="BD227" s="61"/>
      <c r="BE227" s="61"/>
      <c r="BF227" s="61"/>
      <c r="BG227" s="61"/>
      <c r="BH227" s="61"/>
      <c r="BI227" s="6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  <c r="BV227" s="61"/>
      <c r="BW227" s="61"/>
      <c r="BX227" s="61"/>
      <c r="BY227" s="61"/>
    </row>
    <row r="228" spans="1:77">
      <c r="A228" s="10"/>
      <c r="B228" s="10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61"/>
      <c r="BD228" s="61"/>
      <c r="BE228" s="61"/>
      <c r="BF228" s="61"/>
      <c r="BG228" s="61"/>
      <c r="BH228" s="61"/>
      <c r="BI228" s="6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  <c r="BV228" s="61"/>
      <c r="BW228" s="61"/>
      <c r="BX228" s="61"/>
      <c r="BY228" s="61"/>
    </row>
    <row r="229" spans="1:77">
      <c r="A229" s="10"/>
      <c r="B229" s="10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6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  <c r="BY229" s="61"/>
    </row>
    <row r="230" spans="1:77">
      <c r="A230" s="10"/>
      <c r="B230" s="10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61"/>
      <c r="BE230" s="61"/>
      <c r="BF230" s="61"/>
      <c r="BG230" s="61"/>
      <c r="BH230" s="61"/>
      <c r="BI230" s="6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  <c r="BY230" s="61"/>
    </row>
    <row r="231" spans="1:77">
      <c r="A231" s="10"/>
      <c r="B231" s="10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 s="61"/>
      <c r="BH231" s="61"/>
      <c r="BI231" s="6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  <c r="BV231" s="61"/>
      <c r="BW231" s="61"/>
      <c r="BX231" s="61"/>
      <c r="BY231" s="61"/>
    </row>
    <row r="232" spans="1:77">
      <c r="A232" s="10"/>
      <c r="B232" s="10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61"/>
      <c r="BI232" s="6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  <c r="BV232" s="61"/>
      <c r="BW232" s="61"/>
      <c r="BX232" s="61"/>
      <c r="BY232" s="61"/>
    </row>
    <row r="233" spans="1:77">
      <c r="A233" s="10"/>
      <c r="B233" s="10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/>
      <c r="BH233" s="61"/>
      <c r="BI233" s="6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  <c r="BV233" s="61"/>
      <c r="BW233" s="61"/>
      <c r="BX233" s="61"/>
      <c r="BY233" s="61"/>
    </row>
    <row r="234" spans="1:77">
      <c r="A234" s="10"/>
      <c r="B234" s="10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  <c r="BY234" s="61"/>
    </row>
    <row r="235" spans="1:77">
      <c r="A235" s="10"/>
      <c r="B235" s="10"/>
      <c r="AS235" s="61"/>
      <c r="AT235" s="61"/>
      <c r="AU235" s="61"/>
      <c r="AV235" s="61"/>
      <c r="AW235" s="61"/>
      <c r="AX235" s="61"/>
      <c r="AY235" s="61"/>
      <c r="AZ235" s="61"/>
      <c r="BA235" s="61"/>
      <c r="BB235" s="61"/>
      <c r="BC235" s="61"/>
      <c r="BD235" s="61"/>
      <c r="BE235" s="61"/>
      <c r="BF235" s="61"/>
      <c r="BG235" s="61"/>
      <c r="BH235" s="61"/>
      <c r="BI235" s="6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  <c r="BV235" s="61"/>
      <c r="BW235" s="61"/>
      <c r="BX235" s="61"/>
      <c r="BY235" s="61"/>
    </row>
    <row r="236" spans="1:77">
      <c r="A236" s="10"/>
      <c r="B236" s="10"/>
      <c r="AS236" s="61"/>
      <c r="AT236" s="61"/>
      <c r="AU236" s="61"/>
      <c r="AV236" s="61"/>
      <c r="AW236" s="61"/>
      <c r="AX236" s="61"/>
      <c r="AY236" s="61"/>
      <c r="AZ236" s="61"/>
      <c r="BA236" s="61"/>
      <c r="BB236" s="61"/>
      <c r="BC236" s="61"/>
      <c r="BD236" s="61"/>
      <c r="BE236" s="61"/>
      <c r="BF236" s="61"/>
      <c r="BG236" s="61"/>
      <c r="BH236" s="61"/>
      <c r="BI236" s="6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  <c r="BV236" s="61"/>
      <c r="BW236" s="61"/>
      <c r="BX236" s="61"/>
      <c r="BY236" s="61"/>
    </row>
    <row r="237" spans="1:77">
      <c r="A237" s="10"/>
      <c r="B237" s="10"/>
      <c r="AS237" s="61"/>
      <c r="AT237" s="61"/>
      <c r="AU237" s="61"/>
      <c r="AV237" s="61"/>
      <c r="AW237" s="61"/>
      <c r="AX237" s="61"/>
      <c r="AY237" s="61"/>
      <c r="AZ237" s="61"/>
      <c r="BA237" s="61"/>
      <c r="BB237" s="61"/>
      <c r="BC237" s="61"/>
      <c r="BD237" s="61"/>
      <c r="BE237" s="61"/>
      <c r="BF237" s="61"/>
      <c r="BG237" s="61"/>
      <c r="BH237" s="61"/>
      <c r="BI237" s="6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  <c r="BV237" s="61"/>
      <c r="BW237" s="61"/>
      <c r="BX237" s="61"/>
      <c r="BY237" s="61"/>
    </row>
    <row r="238" spans="1:77">
      <c r="A238" s="10"/>
      <c r="B238" s="10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  <c r="BY238" s="61"/>
    </row>
    <row r="239" spans="1:77">
      <c r="A239" s="10"/>
      <c r="B239" s="10"/>
      <c r="AS239" s="61"/>
      <c r="AT239" s="61"/>
      <c r="AU239" s="61"/>
      <c r="AV239" s="61"/>
      <c r="AW239" s="61"/>
      <c r="AX239" s="61"/>
      <c r="AY239" s="61"/>
      <c r="AZ239" s="61"/>
      <c r="BA239" s="61"/>
      <c r="BB239" s="61"/>
      <c r="BC239" s="61"/>
      <c r="BD239" s="61"/>
      <c r="BE239" s="61"/>
      <c r="BF239" s="61"/>
      <c r="BG239" s="61"/>
      <c r="BH239" s="61"/>
      <c r="BI239" s="6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  <c r="BV239" s="61"/>
      <c r="BW239" s="61"/>
      <c r="BX239" s="61"/>
      <c r="BY239" s="61"/>
    </row>
    <row r="240" spans="1:77">
      <c r="A240" s="10"/>
      <c r="B240" s="10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61"/>
      <c r="BD240" s="61"/>
      <c r="BE240" s="61"/>
      <c r="BF240" s="61"/>
      <c r="BG240" s="61"/>
      <c r="BH240" s="61"/>
      <c r="BI240" s="6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  <c r="BV240" s="61"/>
      <c r="BW240" s="61"/>
      <c r="BX240" s="61"/>
      <c r="BY240" s="61"/>
    </row>
    <row r="241" spans="1:77">
      <c r="A241" s="10"/>
      <c r="B241" s="10"/>
      <c r="AS241" s="61"/>
      <c r="AT241" s="61"/>
      <c r="AU241" s="61"/>
      <c r="AV241" s="61"/>
      <c r="AW241" s="61"/>
      <c r="AX241" s="61"/>
      <c r="AY241" s="61"/>
      <c r="AZ241" s="61"/>
      <c r="BA241" s="61"/>
      <c r="BB241" s="61"/>
      <c r="BC241" s="61"/>
      <c r="BD241" s="61"/>
      <c r="BE241" s="61"/>
      <c r="BF241" s="61"/>
      <c r="BG241" s="61"/>
      <c r="BH241" s="61"/>
      <c r="BI241" s="6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  <c r="BV241" s="61"/>
      <c r="BW241" s="61"/>
      <c r="BX241" s="61"/>
      <c r="BY241" s="61"/>
    </row>
    <row r="242" spans="1:77">
      <c r="A242" s="10"/>
      <c r="B242" s="10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61"/>
      <c r="BD242" s="61"/>
      <c r="BE242" s="61"/>
      <c r="BF242" s="61"/>
      <c r="BG242" s="61"/>
      <c r="BH242" s="61"/>
      <c r="BI242" s="6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  <c r="BV242" s="61"/>
      <c r="BW242" s="61"/>
      <c r="BX242" s="61"/>
      <c r="BY242" s="61"/>
    </row>
    <row r="243" spans="1:77">
      <c r="A243" s="10"/>
      <c r="B243" s="10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61"/>
      <c r="BD243" s="61"/>
      <c r="BE243" s="61"/>
      <c r="BF243" s="61"/>
      <c r="BG243" s="61"/>
      <c r="BH243" s="61"/>
      <c r="BI243" s="6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  <c r="BV243" s="61"/>
      <c r="BW243" s="61"/>
      <c r="BX243" s="61"/>
      <c r="BY243" s="61"/>
    </row>
    <row r="244" spans="1:77">
      <c r="A244" s="10"/>
      <c r="B244" s="10"/>
      <c r="AS244" s="61"/>
      <c r="AT244" s="61"/>
      <c r="AU244" s="61"/>
      <c r="AV244" s="61"/>
      <c r="AW244" s="61"/>
      <c r="AX244" s="61"/>
      <c r="AY244" s="61"/>
      <c r="AZ244" s="61"/>
      <c r="BA244" s="61"/>
      <c r="BB244" s="61"/>
      <c r="BC244" s="61"/>
      <c r="BD244" s="61"/>
      <c r="BE244" s="61"/>
      <c r="BF244" s="61"/>
      <c r="BG244" s="61"/>
      <c r="BH244" s="61"/>
      <c r="BI244" s="6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  <c r="BV244" s="61"/>
      <c r="BW244" s="61"/>
      <c r="BX244" s="61"/>
      <c r="BY244" s="61"/>
    </row>
    <row r="245" spans="1:77">
      <c r="A245" s="10"/>
      <c r="B245" s="10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61"/>
      <c r="BD245" s="61"/>
      <c r="BE245" s="61"/>
      <c r="BF245" s="61"/>
      <c r="BG245" s="61"/>
      <c r="BH245" s="61"/>
      <c r="BI245" s="6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  <c r="BV245" s="61"/>
      <c r="BW245" s="61"/>
      <c r="BX245" s="61"/>
      <c r="BY245" s="61"/>
    </row>
    <row r="246" spans="1:77">
      <c r="A246" s="10"/>
      <c r="B246" s="10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  <c r="BC246" s="61"/>
      <c r="BD246" s="61"/>
      <c r="BE246" s="61"/>
      <c r="BF246" s="61"/>
      <c r="BG246" s="61"/>
      <c r="BH246" s="61"/>
      <c r="BI246" s="6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  <c r="BY246" s="61"/>
    </row>
    <row r="247" spans="1:77">
      <c r="A247" s="10"/>
      <c r="B247" s="10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61"/>
      <c r="BI247" s="6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  <c r="BY247" s="61"/>
    </row>
    <row r="248" spans="1:77">
      <c r="A248" s="10"/>
      <c r="B248" s="10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  <c r="BY248" s="61"/>
    </row>
    <row r="249" spans="1:77">
      <c r="A249" s="10"/>
      <c r="B249" s="10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  <c r="BY249" s="61"/>
    </row>
    <row r="250" spans="1:77">
      <c r="A250" s="10"/>
      <c r="B250" s="10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6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  <c r="BY250" s="61"/>
    </row>
    <row r="251" spans="1:77">
      <c r="A251" s="10"/>
      <c r="B251" s="10"/>
      <c r="AS251" s="61"/>
      <c r="AT251" s="61"/>
      <c r="AU251" s="61"/>
      <c r="AV251" s="61"/>
      <c r="AW251" s="61"/>
      <c r="AX251" s="61"/>
      <c r="AY251" s="61"/>
      <c r="AZ251" s="61"/>
      <c r="BA251" s="61"/>
      <c r="BB251" s="61"/>
      <c r="BC251" s="61"/>
      <c r="BD251" s="61"/>
      <c r="BE251" s="61"/>
      <c r="BF251" s="61"/>
      <c r="BG251" s="61"/>
      <c r="BH251" s="61"/>
      <c r="BI251" s="6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  <c r="BV251" s="61"/>
      <c r="BW251" s="61"/>
      <c r="BX251" s="61"/>
      <c r="BY251" s="61"/>
    </row>
    <row r="252" spans="1:77">
      <c r="A252" s="10"/>
      <c r="B252" s="10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  <c r="BY252" s="61"/>
    </row>
    <row r="253" spans="1:77">
      <c r="A253" s="10"/>
      <c r="B253" s="10"/>
      <c r="AS253" s="61"/>
      <c r="AT253" s="61"/>
      <c r="AU253" s="61"/>
      <c r="AV253" s="61"/>
      <c r="AW253" s="61"/>
      <c r="AX253" s="61"/>
      <c r="AY253" s="61"/>
      <c r="AZ253" s="61"/>
      <c r="BA253" s="61"/>
      <c r="BB253" s="61"/>
      <c r="BC253" s="61"/>
      <c r="BD253" s="61"/>
      <c r="BE253" s="61"/>
      <c r="BF253" s="61"/>
      <c r="BG253" s="61"/>
      <c r="BH253" s="61"/>
      <c r="BI253" s="6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  <c r="BV253" s="61"/>
      <c r="BW253" s="61"/>
      <c r="BX253" s="61"/>
      <c r="BY253" s="61"/>
    </row>
    <row r="254" spans="1:77">
      <c r="A254" s="10"/>
      <c r="B254" s="10"/>
      <c r="AS254" s="61"/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61"/>
      <c r="BE254" s="61"/>
      <c r="BF254" s="61"/>
      <c r="BG254" s="61"/>
      <c r="BH254" s="61"/>
      <c r="BI254" s="6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  <c r="BV254" s="61"/>
      <c r="BW254" s="61"/>
      <c r="BX254" s="61"/>
      <c r="BY254" s="61"/>
    </row>
    <row r="255" spans="1:77">
      <c r="A255" s="10"/>
      <c r="B255" s="10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6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  <c r="BY255" s="61"/>
    </row>
    <row r="256" spans="1:77">
      <c r="A256" s="10"/>
      <c r="B256" s="10"/>
      <c r="AS256" s="61"/>
      <c r="AT256" s="61"/>
      <c r="AU256" s="61"/>
      <c r="AV256" s="61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  <c r="BY256" s="61"/>
    </row>
    <row r="257" spans="1:77">
      <c r="A257" s="10"/>
      <c r="B257" s="10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  <c r="BY257" s="61"/>
    </row>
    <row r="258" spans="1:77">
      <c r="A258" s="10"/>
      <c r="B258" s="10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  <c r="BY258" s="61"/>
    </row>
    <row r="259" spans="1:77">
      <c r="A259" s="10"/>
      <c r="B259" s="10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  <c r="BY259" s="61"/>
    </row>
    <row r="260" spans="1:77">
      <c r="A260" s="10"/>
      <c r="B260" s="10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  <c r="BY260" s="61"/>
    </row>
    <row r="261" spans="1:77">
      <c r="A261" s="10"/>
      <c r="B261" s="10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61"/>
      <c r="BE261" s="61"/>
      <c r="BF261" s="61"/>
      <c r="BG261" s="61"/>
      <c r="BH261" s="61"/>
      <c r="BI261" s="6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  <c r="BV261" s="61"/>
      <c r="BW261" s="61"/>
      <c r="BX261" s="61"/>
      <c r="BY261" s="61"/>
    </row>
    <row r="262" spans="1:77">
      <c r="A262" s="10"/>
      <c r="B262" s="10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/>
      <c r="BH262" s="61"/>
      <c r="BI262" s="6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  <c r="BV262" s="61"/>
      <c r="BW262" s="61"/>
      <c r="BX262" s="61"/>
      <c r="BY262" s="61"/>
    </row>
    <row r="263" spans="1:77">
      <c r="A263" s="10"/>
      <c r="B263" s="10"/>
      <c r="AS263" s="61"/>
      <c r="AT263" s="61"/>
      <c r="AU263" s="61"/>
      <c r="AV263" s="61"/>
      <c r="AW263" s="61"/>
      <c r="AX263" s="61"/>
      <c r="AY263" s="61"/>
      <c r="AZ263" s="61"/>
      <c r="BA263" s="61"/>
      <c r="BB263" s="61"/>
      <c r="BC263" s="61"/>
      <c r="BD263" s="61"/>
      <c r="BE263" s="61"/>
      <c r="BF263" s="61"/>
      <c r="BG263" s="61"/>
      <c r="BH263" s="61"/>
      <c r="BI263" s="6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  <c r="BV263" s="61"/>
      <c r="BW263" s="61"/>
      <c r="BX263" s="61"/>
      <c r="BY263" s="61"/>
    </row>
    <row r="264" spans="1:77">
      <c r="A264" s="10"/>
      <c r="B264" s="10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61"/>
      <c r="BE264" s="61"/>
      <c r="BF264" s="61"/>
      <c r="BG264" s="61"/>
      <c r="BH264" s="61"/>
      <c r="BI264" s="6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  <c r="BV264" s="61"/>
      <c r="BW264" s="61"/>
      <c r="BX264" s="61"/>
      <c r="BY264" s="61"/>
    </row>
    <row r="265" spans="1:77">
      <c r="A265" s="10"/>
      <c r="B265" s="10"/>
      <c r="AS265" s="61"/>
      <c r="AT265" s="61"/>
      <c r="AU265" s="61"/>
      <c r="AV265" s="61"/>
      <c r="AW265" s="61"/>
      <c r="AX265" s="61"/>
      <c r="AY265" s="61"/>
      <c r="AZ265" s="61"/>
      <c r="BA265" s="61"/>
      <c r="BB265" s="61"/>
      <c r="BC265" s="61"/>
      <c r="BD265" s="61"/>
      <c r="BE265" s="61"/>
      <c r="BF265" s="61"/>
      <c r="BG265" s="61"/>
      <c r="BH265" s="61"/>
      <c r="BI265" s="6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  <c r="BV265" s="61"/>
      <c r="BW265" s="61"/>
      <c r="BX265" s="61"/>
      <c r="BY265" s="61"/>
    </row>
    <row r="266" spans="1:77">
      <c r="A266" s="10"/>
      <c r="B266" s="10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  <c r="BY266" s="61"/>
    </row>
    <row r="267" spans="1:77">
      <c r="A267" s="10"/>
      <c r="B267" s="10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61"/>
      <c r="BI267" s="6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  <c r="BV267" s="61"/>
      <c r="BW267" s="61"/>
      <c r="BX267" s="61"/>
      <c r="BY267" s="61"/>
    </row>
    <row r="268" spans="1:77">
      <c r="A268" s="10"/>
      <c r="B268" s="10"/>
      <c r="AS268" s="61"/>
      <c r="AT268" s="61"/>
      <c r="AU268" s="61"/>
      <c r="AV268" s="61"/>
      <c r="AW268" s="61"/>
      <c r="AX268" s="61"/>
      <c r="AY268" s="61"/>
      <c r="AZ268" s="61"/>
      <c r="BA268" s="61"/>
      <c r="BB268" s="61"/>
      <c r="BC268" s="61"/>
      <c r="BD268" s="61"/>
      <c r="BE268" s="61"/>
      <c r="BF268" s="61"/>
      <c r="BG268" s="61"/>
      <c r="BH268" s="61"/>
      <c r="BI268" s="6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  <c r="BV268" s="61"/>
      <c r="BW268" s="61"/>
      <c r="BX268" s="61"/>
      <c r="BY268" s="61"/>
    </row>
    <row r="269" spans="1:77">
      <c r="A269" s="10"/>
      <c r="B269" s="10"/>
      <c r="AS269" s="61"/>
      <c r="AT269" s="61"/>
      <c r="AU269" s="61"/>
      <c r="AV269" s="61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 s="61"/>
      <c r="BH269" s="61"/>
      <c r="BI269" s="6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  <c r="BV269" s="61"/>
      <c r="BW269" s="61"/>
      <c r="BX269" s="61"/>
      <c r="BY269" s="61"/>
    </row>
    <row r="270" spans="1:77">
      <c r="A270" s="10"/>
      <c r="B270" s="10"/>
      <c r="AS270" s="61"/>
      <c r="AT270" s="61"/>
      <c r="AU270" s="61"/>
      <c r="AV270" s="61"/>
      <c r="AW270" s="61"/>
      <c r="AX270" s="61"/>
      <c r="AY270" s="61"/>
      <c r="AZ270" s="61"/>
      <c r="BA270" s="61"/>
      <c r="BB270" s="61"/>
      <c r="BC270" s="61"/>
      <c r="BD270" s="61"/>
      <c r="BE270" s="61"/>
      <c r="BF270" s="61"/>
      <c r="BG270" s="61"/>
      <c r="BH270" s="61"/>
      <c r="BI270" s="6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  <c r="BV270" s="61"/>
      <c r="BW270" s="61"/>
      <c r="BX270" s="61"/>
      <c r="BY270" s="61"/>
    </row>
    <row r="271" spans="1:77">
      <c r="A271" s="10"/>
      <c r="B271" s="10"/>
      <c r="L271" s="61"/>
      <c r="M271" s="61"/>
      <c r="N271" s="61"/>
      <c r="O271" s="61"/>
      <c r="P271" s="61"/>
      <c r="AS271" s="61"/>
      <c r="AT271" s="61"/>
      <c r="AU271" s="61"/>
      <c r="AV271" s="61"/>
      <c r="AW271" s="61"/>
      <c r="AX271" s="61"/>
      <c r="AY271" s="61"/>
      <c r="AZ271" s="61"/>
      <c r="BA271" s="61"/>
      <c r="BB271" s="61"/>
      <c r="BC271" s="61"/>
      <c r="BD271" s="61"/>
      <c r="BE271" s="61"/>
      <c r="BF271" s="61"/>
      <c r="BG271" s="61"/>
      <c r="BH271" s="61"/>
      <c r="BI271" s="6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  <c r="BV271" s="61"/>
      <c r="BW271" s="61"/>
      <c r="BX271" s="61"/>
      <c r="BY271" s="61"/>
    </row>
    <row r="272" spans="1:77">
      <c r="A272" s="10"/>
      <c r="B272" s="10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AS272" s="61"/>
      <c r="AT272" s="61"/>
      <c r="AU272" s="61"/>
      <c r="AV272" s="61"/>
      <c r="AW272" s="61"/>
      <c r="AX272" s="61"/>
      <c r="AY272" s="61"/>
      <c r="AZ272" s="61"/>
      <c r="BA272" s="61"/>
      <c r="BB272" s="61"/>
      <c r="BC272" s="61"/>
      <c r="BD272" s="61"/>
      <c r="BE272" s="61"/>
      <c r="BF272" s="61"/>
      <c r="BG272" s="61"/>
      <c r="BH272" s="61"/>
      <c r="BI272" s="6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  <c r="BV272" s="61"/>
      <c r="BW272" s="61"/>
      <c r="BX272" s="61"/>
      <c r="BY272" s="61"/>
    </row>
    <row r="273" spans="1:77">
      <c r="A273" s="10"/>
      <c r="B273" s="10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6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  <c r="BV273" s="61"/>
      <c r="BW273" s="61"/>
      <c r="BX273" s="61"/>
      <c r="BY273" s="61"/>
    </row>
    <row r="274" spans="1:77">
      <c r="A274" s="10"/>
      <c r="B274" s="10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AS274" s="61"/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6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  <c r="BV274" s="61"/>
      <c r="BW274" s="61"/>
      <c r="BX274" s="61"/>
      <c r="BY274" s="61"/>
    </row>
    <row r="275" spans="1:77">
      <c r="A275" s="10"/>
      <c r="B275" s="10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AS275" s="61"/>
      <c r="AT275" s="61"/>
      <c r="AU275" s="61"/>
      <c r="AV275" s="61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6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  <c r="BV275" s="61"/>
      <c r="BW275" s="61"/>
      <c r="BX275" s="61"/>
      <c r="BY275" s="61"/>
    </row>
    <row r="276" spans="1:77">
      <c r="A276" s="10"/>
      <c r="B276" s="10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AS276" s="61"/>
      <c r="AT276" s="61"/>
      <c r="AU276" s="61"/>
      <c r="AV276" s="61"/>
      <c r="AW276" s="61"/>
      <c r="AX276" s="61"/>
      <c r="AY276" s="61"/>
      <c r="AZ276" s="61"/>
      <c r="BA276" s="61"/>
      <c r="BB276" s="61"/>
      <c r="BC276" s="61"/>
      <c r="BD276" s="61"/>
      <c r="BE276" s="61"/>
      <c r="BF276" s="61"/>
      <c r="BG276" s="61"/>
      <c r="BH276" s="61"/>
      <c r="BI276" s="6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  <c r="BV276" s="61"/>
      <c r="BW276" s="61"/>
      <c r="BX276" s="61"/>
      <c r="BY276" s="61"/>
    </row>
    <row r="277" spans="1:77">
      <c r="A277" s="10"/>
      <c r="B277" s="10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AS277" s="61"/>
      <c r="AT277" s="61"/>
      <c r="AU277" s="61"/>
      <c r="AV277" s="61"/>
      <c r="AW277" s="61"/>
      <c r="AX277" s="61"/>
      <c r="AY277" s="61"/>
      <c r="AZ277" s="61"/>
      <c r="BA277" s="61"/>
      <c r="BB277" s="61"/>
      <c r="BC277" s="61"/>
      <c r="BD277" s="61"/>
      <c r="BE277" s="61"/>
      <c r="BF277" s="61"/>
      <c r="BG277" s="61"/>
      <c r="BH277" s="61"/>
      <c r="BI277" s="6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  <c r="BY277" s="61"/>
    </row>
    <row r="278" spans="1:77">
      <c r="A278" s="10"/>
      <c r="B278" s="10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AS278" s="61"/>
      <c r="AT278" s="61"/>
      <c r="AU278" s="61"/>
      <c r="AV278" s="61"/>
      <c r="AW278" s="61"/>
      <c r="AX278" s="61"/>
      <c r="AY278" s="61"/>
      <c r="AZ278" s="61"/>
      <c r="BA278" s="61"/>
      <c r="BB278" s="61"/>
      <c r="BC278" s="61"/>
      <c r="BD278" s="61"/>
      <c r="BE278" s="61"/>
      <c r="BF278" s="61"/>
      <c r="BG278" s="61"/>
      <c r="BH278" s="61"/>
      <c r="BI278" s="6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  <c r="BV278" s="61"/>
      <c r="BW278" s="61"/>
      <c r="BX278" s="61"/>
      <c r="BY278" s="61"/>
    </row>
    <row r="279" spans="1:77">
      <c r="A279" s="10"/>
      <c r="B279" s="10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AS279" s="61"/>
      <c r="AT279" s="61"/>
      <c r="AU279" s="61"/>
      <c r="AV279" s="61"/>
      <c r="AW279" s="61"/>
      <c r="AX279" s="61"/>
      <c r="AY279" s="61"/>
      <c r="AZ279" s="61"/>
      <c r="BA279" s="61"/>
      <c r="BB279" s="61"/>
      <c r="BC279" s="61"/>
      <c r="BD279" s="61"/>
      <c r="BE279" s="61"/>
      <c r="BF279" s="61"/>
      <c r="BG279" s="61"/>
      <c r="BH279" s="61"/>
      <c r="BI279" s="6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  <c r="BV279" s="61"/>
      <c r="BW279" s="61"/>
      <c r="BX279" s="61"/>
      <c r="BY279" s="61"/>
    </row>
    <row r="280" spans="1:77">
      <c r="A280" s="10"/>
      <c r="B280" s="10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  <c r="BY280" s="61"/>
    </row>
    <row r="281" spans="1:77">
      <c r="A281" s="10"/>
      <c r="B281" s="10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AS281" s="61"/>
      <c r="AT281" s="61"/>
      <c r="AU281" s="61"/>
      <c r="AV281" s="61"/>
      <c r="AW281" s="61"/>
      <c r="AX281" s="61"/>
      <c r="AY281" s="61"/>
      <c r="AZ281" s="61"/>
      <c r="BA281" s="61"/>
      <c r="BB281" s="61"/>
      <c r="BC281" s="61"/>
      <c r="BD281" s="61"/>
      <c r="BE281" s="61"/>
      <c r="BF281" s="61"/>
      <c r="BG281" s="61"/>
      <c r="BH281" s="61"/>
      <c r="BI281" s="6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  <c r="BV281" s="61"/>
      <c r="BW281" s="61"/>
      <c r="BX281" s="61"/>
      <c r="BY281" s="61"/>
    </row>
    <row r="282" spans="1:77">
      <c r="A282" s="10"/>
      <c r="B282" s="10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AS282" s="61"/>
      <c r="AT282" s="61"/>
      <c r="AU282" s="61"/>
      <c r="AV282" s="61"/>
      <c r="AW282" s="61"/>
      <c r="AX282" s="61"/>
      <c r="AY282" s="61"/>
      <c r="AZ282" s="61"/>
      <c r="BA282" s="61"/>
      <c r="BB282" s="61"/>
      <c r="BC282" s="61"/>
      <c r="BD282" s="61"/>
      <c r="BE282" s="61"/>
      <c r="BF282" s="61"/>
      <c r="BG282" s="61"/>
      <c r="BH282" s="61"/>
      <c r="BI282" s="6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  <c r="BV282" s="61"/>
      <c r="BW282" s="61"/>
      <c r="BX282" s="61"/>
      <c r="BY282" s="61"/>
    </row>
    <row r="283" spans="1:77">
      <c r="A283" s="10"/>
      <c r="B283" s="10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61"/>
      <c r="BD283" s="61"/>
      <c r="BE283" s="61"/>
      <c r="BF283" s="61"/>
      <c r="BG283" s="61"/>
      <c r="BH283" s="61"/>
      <c r="BI283" s="6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  <c r="BV283" s="61"/>
      <c r="BW283" s="61"/>
      <c r="BX283" s="61"/>
      <c r="BY283" s="61"/>
    </row>
    <row r="284" spans="1:77">
      <c r="A284" s="10"/>
      <c r="B284" s="10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61"/>
      <c r="BD284" s="61"/>
      <c r="BE284" s="61"/>
      <c r="BF284" s="61"/>
      <c r="BG284" s="61"/>
      <c r="BH284" s="61"/>
      <c r="BI284" s="6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  <c r="BV284" s="61"/>
      <c r="BW284" s="61"/>
      <c r="BX284" s="61"/>
      <c r="BY284" s="61"/>
    </row>
    <row r="285" spans="1:77">
      <c r="A285" s="10"/>
      <c r="B285" s="1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1"/>
      <c r="BD285" s="61"/>
      <c r="BE285" s="61"/>
      <c r="BF285" s="61"/>
      <c r="BG285" s="61"/>
      <c r="BH285" s="61"/>
      <c r="BI285" s="6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  <c r="BV285" s="61"/>
      <c r="BW285" s="61"/>
      <c r="BX285" s="61"/>
      <c r="BY285" s="61"/>
    </row>
    <row r="286" spans="1:77">
      <c r="A286" s="10"/>
      <c r="B286" s="10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AS286" s="61"/>
      <c r="AT286" s="61"/>
      <c r="AU286" s="61"/>
      <c r="AV286" s="61"/>
      <c r="AW286" s="61"/>
      <c r="AX286" s="61"/>
      <c r="AY286" s="61"/>
      <c r="AZ286" s="61"/>
      <c r="BA286" s="61"/>
      <c r="BB286" s="61"/>
      <c r="BC286" s="61"/>
      <c r="BD286" s="61"/>
      <c r="BE286" s="61"/>
      <c r="BF286" s="61"/>
      <c r="BG286" s="61"/>
      <c r="BH286" s="61"/>
      <c r="BI286" s="6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  <c r="BV286" s="61"/>
      <c r="BW286" s="61"/>
      <c r="BX286" s="61"/>
      <c r="BY286" s="61"/>
    </row>
    <row r="287" spans="1:77">
      <c r="A287" s="10"/>
      <c r="B287" s="10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61"/>
      <c r="BD287" s="61"/>
      <c r="BE287" s="61"/>
      <c r="BF287" s="61"/>
      <c r="BG287" s="61"/>
      <c r="BH287" s="61"/>
      <c r="BI287" s="6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  <c r="BV287" s="61"/>
      <c r="BW287" s="61"/>
      <c r="BX287" s="61"/>
      <c r="BY287" s="61"/>
    </row>
    <row r="288" spans="1:77">
      <c r="A288" s="10"/>
      <c r="B288" s="10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AS288" s="61"/>
      <c r="AT288" s="61"/>
      <c r="AU288" s="61"/>
      <c r="AV288" s="61"/>
      <c r="AW288" s="61"/>
      <c r="AX288" s="61"/>
      <c r="AY288" s="61"/>
      <c r="AZ288" s="61"/>
      <c r="BA288" s="61"/>
      <c r="BB288" s="61"/>
      <c r="BC288" s="61"/>
      <c r="BD288" s="61"/>
      <c r="BE288" s="61"/>
      <c r="BF288" s="61"/>
      <c r="BG288" s="61"/>
      <c r="BH288" s="61"/>
      <c r="BI288" s="6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  <c r="BV288" s="61"/>
      <c r="BW288" s="61"/>
      <c r="BX288" s="61"/>
      <c r="BY288" s="61"/>
    </row>
    <row r="289" spans="1:77">
      <c r="A289" s="10"/>
      <c r="B289" s="10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AS289" s="61"/>
      <c r="AT289" s="61"/>
      <c r="AU289" s="61"/>
      <c r="AV289" s="61"/>
      <c r="AW289" s="61"/>
      <c r="AX289" s="61"/>
      <c r="AY289" s="61"/>
      <c r="AZ289" s="61"/>
      <c r="BA289" s="61"/>
      <c r="BB289" s="61"/>
      <c r="BC289" s="61"/>
      <c r="BD289" s="61"/>
      <c r="BE289" s="61"/>
      <c r="BF289" s="61"/>
      <c r="BG289" s="61"/>
      <c r="BH289" s="61"/>
      <c r="BI289" s="6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  <c r="BV289" s="61"/>
      <c r="BW289" s="61"/>
      <c r="BX289" s="61"/>
      <c r="BY289" s="61"/>
    </row>
    <row r="290" spans="1:77">
      <c r="A290" s="10"/>
      <c r="B290" s="10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61"/>
      <c r="BD290" s="61"/>
      <c r="BE290" s="61"/>
      <c r="BF290" s="61"/>
      <c r="BG290" s="61"/>
      <c r="BH290" s="61"/>
      <c r="BI290" s="6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  <c r="BV290" s="61"/>
      <c r="BW290" s="61"/>
      <c r="BX290" s="61"/>
      <c r="BY290" s="61"/>
    </row>
    <row r="291" spans="1:77">
      <c r="A291" s="10"/>
      <c r="B291" s="10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AS291" s="61"/>
      <c r="AT291" s="61"/>
      <c r="AU291" s="61"/>
      <c r="AV291" s="61"/>
      <c r="AW291" s="61"/>
      <c r="AX291" s="61"/>
      <c r="AY291" s="61"/>
      <c r="AZ291" s="61"/>
      <c r="BA291" s="61"/>
      <c r="BB291" s="61"/>
      <c r="BC291" s="61"/>
      <c r="BD291" s="61"/>
      <c r="BE291" s="61"/>
      <c r="BF291" s="61"/>
      <c r="BG291" s="61"/>
      <c r="BH291" s="61"/>
      <c r="BI291" s="6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  <c r="BV291" s="61"/>
      <c r="BW291" s="61"/>
      <c r="BX291" s="61"/>
      <c r="BY291" s="61"/>
    </row>
    <row r="292" spans="1:77">
      <c r="A292" s="10"/>
      <c r="B292" s="10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AS292" s="61"/>
      <c r="AT292" s="61"/>
      <c r="AU292" s="61"/>
      <c r="AV292" s="61"/>
      <c r="AW292" s="61"/>
      <c r="AX292" s="61"/>
      <c r="AY292" s="61"/>
      <c r="AZ292" s="61"/>
      <c r="BA292" s="61"/>
      <c r="BB292" s="61"/>
      <c r="BC292" s="61"/>
      <c r="BD292" s="61"/>
      <c r="BE292" s="61"/>
      <c r="BF292" s="61"/>
      <c r="BG292" s="61"/>
      <c r="BH292" s="61"/>
      <c r="BI292" s="6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  <c r="BV292" s="61"/>
      <c r="BW292" s="61"/>
      <c r="BX292" s="61"/>
      <c r="BY292" s="61"/>
    </row>
    <row r="293" spans="1:77">
      <c r="A293" s="10"/>
      <c r="B293" s="10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61"/>
      <c r="BI293" s="6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  <c r="BV293" s="61"/>
      <c r="BW293" s="61"/>
      <c r="BX293" s="61"/>
      <c r="BY293" s="61"/>
    </row>
    <row r="294" spans="1:77">
      <c r="A294" s="10"/>
      <c r="B294" s="10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  <c r="BY294" s="61"/>
    </row>
    <row r="295" spans="1:77">
      <c r="A295" s="10"/>
      <c r="B295" s="10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61"/>
      <c r="BD295" s="61"/>
      <c r="BE295" s="61"/>
      <c r="BF295" s="61"/>
      <c r="BG295" s="61"/>
      <c r="BH295" s="61"/>
      <c r="BI295" s="6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  <c r="BV295" s="61"/>
      <c r="BW295" s="61"/>
      <c r="BX295" s="61"/>
      <c r="BY295" s="61"/>
    </row>
    <row r="296" spans="1:77">
      <c r="A296" s="10"/>
      <c r="B296" s="10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/>
      <c r="BH296" s="61"/>
      <c r="BI296" s="6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  <c r="BV296" s="61"/>
      <c r="BW296" s="61"/>
      <c r="BX296" s="61"/>
      <c r="BY296" s="61"/>
    </row>
    <row r="297" spans="1:77">
      <c r="A297" s="10"/>
      <c r="B297" s="10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AS297" s="61"/>
      <c r="AT297" s="61"/>
      <c r="AU297" s="61"/>
      <c r="AV297" s="61"/>
      <c r="AW297" s="61"/>
      <c r="AX297" s="61"/>
      <c r="AY297" s="61"/>
      <c r="AZ297" s="61"/>
      <c r="BA297" s="61"/>
      <c r="BB297" s="61"/>
      <c r="BC297" s="61"/>
      <c r="BD297" s="61"/>
      <c r="BE297" s="61"/>
      <c r="BF297" s="61"/>
      <c r="BG297" s="61"/>
      <c r="BH297" s="61"/>
      <c r="BI297" s="6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  <c r="BV297" s="61"/>
      <c r="BW297" s="61"/>
      <c r="BX297" s="61"/>
      <c r="BY297" s="61"/>
    </row>
    <row r="298" spans="1:77">
      <c r="A298" s="10"/>
      <c r="B298" s="10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AS298" s="61"/>
      <c r="AT298" s="61"/>
      <c r="AU298" s="61"/>
      <c r="AV298" s="61"/>
      <c r="AW298" s="61"/>
      <c r="AX298" s="61"/>
      <c r="AY298" s="61"/>
      <c r="AZ298" s="61"/>
      <c r="BA298" s="61"/>
      <c r="BB298" s="61"/>
      <c r="BC298" s="61"/>
      <c r="BD298" s="61"/>
      <c r="BE298" s="61"/>
      <c r="BF298" s="61"/>
      <c r="BG298" s="61"/>
      <c r="BH298" s="61"/>
      <c r="BI298" s="6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  <c r="BV298" s="61"/>
      <c r="BW298" s="61"/>
      <c r="BX298" s="61"/>
      <c r="BY298" s="61"/>
    </row>
    <row r="299" spans="1:77">
      <c r="A299" s="10"/>
      <c r="B299" s="10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AS299" s="61"/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61"/>
      <c r="BI299" s="6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  <c r="BV299" s="61"/>
      <c r="BW299" s="61"/>
      <c r="BX299" s="61"/>
      <c r="BY299" s="61"/>
    </row>
    <row r="300" spans="1:77">
      <c r="A300" s="10"/>
      <c r="B300" s="10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AS300" s="61"/>
      <c r="AT300" s="61"/>
      <c r="AU300" s="61"/>
      <c r="AV300" s="61"/>
      <c r="AW300" s="61"/>
      <c r="AX300" s="61"/>
      <c r="AY300" s="61"/>
      <c r="AZ300" s="61"/>
      <c r="BA300" s="61"/>
      <c r="BB300" s="61"/>
      <c r="BC300" s="61"/>
      <c r="BD300" s="61"/>
      <c r="BE300" s="61"/>
      <c r="BF300" s="61"/>
      <c r="BG300" s="61"/>
      <c r="BH300" s="61"/>
      <c r="BI300" s="6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  <c r="BV300" s="61"/>
      <c r="BW300" s="61"/>
      <c r="BX300" s="61"/>
      <c r="BY300" s="61"/>
    </row>
    <row r="301" spans="1:77">
      <c r="A301" s="10"/>
      <c r="B301" s="10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AS301" s="61"/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61"/>
      <c r="BI301" s="6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  <c r="BV301" s="61"/>
      <c r="BW301" s="61"/>
      <c r="BX301" s="61"/>
      <c r="BY301" s="61"/>
    </row>
    <row r="302" spans="1:77">
      <c r="A302" s="10"/>
      <c r="B302" s="10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61"/>
      <c r="BI302" s="6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  <c r="BV302" s="61"/>
      <c r="BW302" s="61"/>
      <c r="BX302" s="61"/>
      <c r="BY302" s="61"/>
    </row>
    <row r="303" spans="1:77">
      <c r="A303" s="10"/>
      <c r="B303" s="10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6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  <c r="BV303" s="61"/>
      <c r="BW303" s="61"/>
      <c r="BX303" s="61"/>
      <c r="BY303" s="61"/>
    </row>
    <row r="304" spans="1:77">
      <c r="A304" s="10"/>
      <c r="B304" s="1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6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  <c r="BV304" s="61"/>
      <c r="BW304" s="61"/>
      <c r="BX304" s="61"/>
      <c r="BY304" s="61"/>
    </row>
    <row r="305" spans="1:77">
      <c r="A305" s="10"/>
      <c r="B305" s="10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AS305" s="61"/>
      <c r="AT305" s="61"/>
      <c r="AU305" s="61"/>
      <c r="AV305" s="61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6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  <c r="BV305" s="61"/>
      <c r="BW305" s="61"/>
      <c r="BX305" s="61"/>
      <c r="BY305" s="61"/>
    </row>
    <row r="306" spans="1:77">
      <c r="A306" s="10"/>
      <c r="B306" s="10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61"/>
      <c r="BI306" s="6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  <c r="BV306" s="61"/>
      <c r="BW306" s="61"/>
      <c r="BX306" s="61"/>
      <c r="BY306" s="61"/>
    </row>
    <row r="307" spans="1:77">
      <c r="A307" s="10"/>
      <c r="B307" s="10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 s="61"/>
      <c r="BH307" s="61"/>
      <c r="BI307" s="6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  <c r="BV307" s="61"/>
      <c r="BW307" s="61"/>
      <c r="BX307" s="61"/>
      <c r="BY307" s="61"/>
    </row>
    <row r="308" spans="1:77">
      <c r="A308" s="10"/>
      <c r="B308" s="10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AS308" s="61"/>
      <c r="AT308" s="61"/>
      <c r="AU308" s="61"/>
      <c r="AV308" s="61"/>
      <c r="AW308" s="61"/>
      <c r="AX308" s="61"/>
      <c r="AY308" s="61"/>
      <c r="AZ308" s="61"/>
      <c r="BA308" s="61"/>
      <c r="BB308" s="61"/>
      <c r="BC308" s="61"/>
      <c r="BD308" s="61"/>
      <c r="BE308" s="61"/>
      <c r="BF308" s="61"/>
      <c r="BG308" s="61"/>
      <c r="BH308" s="61"/>
      <c r="BI308" s="6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  <c r="BV308" s="61"/>
      <c r="BW308" s="61"/>
      <c r="BX308" s="61"/>
      <c r="BY308" s="61"/>
    </row>
    <row r="309" spans="1:77">
      <c r="A309" s="10"/>
      <c r="B309" s="10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AS309" s="61"/>
      <c r="AT309" s="61"/>
      <c r="AU309" s="61"/>
      <c r="AV309" s="61"/>
      <c r="AW309" s="61"/>
      <c r="AX309" s="61"/>
      <c r="AY309" s="61"/>
      <c r="AZ309" s="61"/>
      <c r="BA309" s="61"/>
      <c r="BB309" s="61"/>
      <c r="BC309" s="61"/>
      <c r="BD309" s="61"/>
      <c r="BE309" s="61"/>
      <c r="BF309" s="61"/>
      <c r="BG309" s="61"/>
      <c r="BH309" s="61"/>
      <c r="BI309" s="6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  <c r="BV309" s="61"/>
      <c r="BW309" s="61"/>
      <c r="BX309" s="61"/>
      <c r="BY309" s="61"/>
    </row>
    <row r="310" spans="1:77">
      <c r="A310" s="10"/>
      <c r="B310" s="10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AS310" s="61"/>
      <c r="AT310" s="61"/>
      <c r="AU310" s="61"/>
      <c r="AV310" s="61"/>
      <c r="AW310" s="61"/>
      <c r="AX310" s="61"/>
      <c r="AY310" s="61"/>
      <c r="AZ310" s="61"/>
      <c r="BA310" s="61"/>
      <c r="BB310" s="61"/>
      <c r="BC310" s="61"/>
      <c r="BD310" s="61"/>
      <c r="BE310" s="61"/>
      <c r="BF310" s="61"/>
      <c r="BG310" s="61"/>
      <c r="BH310" s="61"/>
      <c r="BI310" s="6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  <c r="BV310" s="61"/>
      <c r="BW310" s="61"/>
      <c r="BX310" s="61"/>
      <c r="BY310" s="61"/>
    </row>
    <row r="311" spans="1:77">
      <c r="A311" s="10"/>
      <c r="B311" s="10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/>
      <c r="BH311" s="61"/>
      <c r="BI311" s="6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  <c r="BV311" s="61"/>
      <c r="BW311" s="61"/>
      <c r="BX311" s="61"/>
      <c r="BY311" s="61"/>
    </row>
    <row r="312" spans="1:77">
      <c r="A312" s="10"/>
      <c r="B312" s="10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AS312" s="61"/>
      <c r="AT312" s="61"/>
      <c r="AU312" s="61"/>
      <c r="AV312" s="61"/>
      <c r="AW312" s="61"/>
      <c r="AX312" s="61"/>
      <c r="AY312" s="61"/>
      <c r="AZ312" s="61"/>
      <c r="BA312" s="61"/>
      <c r="BB312" s="61"/>
      <c r="BC312" s="61"/>
      <c r="BD312" s="61"/>
      <c r="BE312" s="61"/>
      <c r="BF312" s="61"/>
      <c r="BG312" s="61"/>
      <c r="BH312" s="61"/>
      <c r="BI312" s="6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  <c r="BV312" s="61"/>
      <c r="BW312" s="61"/>
      <c r="BX312" s="61"/>
      <c r="BY312" s="61"/>
    </row>
    <row r="313" spans="1:77">
      <c r="A313" s="10"/>
      <c r="B313" s="10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AS313" s="61"/>
      <c r="AT313" s="61"/>
      <c r="AU313" s="61"/>
      <c r="AV313" s="61"/>
      <c r="AW313" s="61"/>
      <c r="AX313" s="61"/>
      <c r="AY313" s="61"/>
      <c r="AZ313" s="61"/>
      <c r="BA313" s="61"/>
      <c r="BB313" s="61"/>
      <c r="BC313" s="61"/>
      <c r="BD313" s="61"/>
      <c r="BE313" s="61"/>
      <c r="BF313" s="61"/>
      <c r="BG313" s="61"/>
      <c r="BH313" s="61"/>
      <c r="BI313" s="6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  <c r="BV313" s="61"/>
      <c r="BW313" s="61"/>
      <c r="BX313" s="61"/>
      <c r="BY313" s="61"/>
    </row>
    <row r="314" spans="1:77">
      <c r="A314" s="10"/>
      <c r="B314" s="10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AS314" s="61"/>
      <c r="AT314" s="61"/>
      <c r="AU314" s="61"/>
      <c r="AV314" s="61"/>
      <c r="AW314" s="61"/>
      <c r="AX314" s="61"/>
      <c r="AY314" s="61"/>
      <c r="AZ314" s="61"/>
      <c r="BA314" s="61"/>
      <c r="BB314" s="61"/>
      <c r="BC314" s="61"/>
      <c r="BD314" s="61"/>
      <c r="BE314" s="61"/>
      <c r="BF314" s="61"/>
      <c r="BG314" s="61"/>
      <c r="BH314" s="61"/>
      <c r="BI314" s="6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  <c r="BV314" s="61"/>
      <c r="BW314" s="61"/>
      <c r="BX314" s="61"/>
      <c r="BY314" s="61"/>
    </row>
    <row r="315" spans="1:77">
      <c r="A315" s="10"/>
      <c r="B315" s="10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AS315" s="61"/>
      <c r="AT315" s="61"/>
      <c r="AU315" s="61"/>
      <c r="AV315" s="61"/>
      <c r="AW315" s="61"/>
      <c r="AX315" s="61"/>
      <c r="AY315" s="61"/>
      <c r="AZ315" s="61"/>
      <c r="BA315" s="61"/>
      <c r="BB315" s="61"/>
      <c r="BC315" s="61"/>
      <c r="BD315" s="61"/>
      <c r="BE315" s="61"/>
      <c r="BF315" s="61"/>
      <c r="BG315" s="61"/>
      <c r="BH315" s="61"/>
      <c r="BI315" s="6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  <c r="BV315" s="61"/>
      <c r="BW315" s="61"/>
      <c r="BX315" s="61"/>
      <c r="BY315" s="61"/>
    </row>
    <row r="316" spans="1:77">
      <c r="A316" s="10"/>
      <c r="B316" s="10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AS316" s="61"/>
      <c r="AT316" s="61"/>
      <c r="AU316" s="61"/>
      <c r="AV316" s="61"/>
      <c r="AW316" s="61"/>
      <c r="AX316" s="61"/>
      <c r="AY316" s="61"/>
      <c r="AZ316" s="61"/>
      <c r="BA316" s="61"/>
      <c r="BB316" s="61"/>
      <c r="BC316" s="61"/>
      <c r="BD316" s="61"/>
      <c r="BE316" s="61"/>
      <c r="BF316" s="61"/>
      <c r="BG316" s="61"/>
      <c r="BH316" s="61"/>
      <c r="BI316" s="6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  <c r="BV316" s="61"/>
      <c r="BW316" s="61"/>
      <c r="BX316" s="61"/>
      <c r="BY316" s="61"/>
    </row>
    <row r="317" spans="1:77">
      <c r="A317" s="10"/>
      <c r="B317" s="10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AS317" s="61"/>
      <c r="AT317" s="61"/>
      <c r="AU317" s="61"/>
      <c r="AV317" s="61"/>
      <c r="AW317" s="61"/>
      <c r="AX317" s="61"/>
      <c r="AY317" s="61"/>
      <c r="AZ317" s="61"/>
      <c r="BA317" s="61"/>
      <c r="BB317" s="61"/>
      <c r="BC317" s="61"/>
      <c r="BD317" s="61"/>
      <c r="BE317" s="61"/>
      <c r="BF317" s="61"/>
      <c r="BG317" s="61"/>
      <c r="BH317" s="61"/>
      <c r="BI317" s="6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  <c r="BV317" s="61"/>
      <c r="BW317" s="61"/>
      <c r="BX317" s="61"/>
      <c r="BY317" s="61"/>
    </row>
    <row r="318" spans="1:77">
      <c r="A318" s="10"/>
      <c r="B318" s="10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AS318" s="61"/>
      <c r="AT318" s="61"/>
      <c r="AU318" s="61"/>
      <c r="AV318" s="61"/>
      <c r="AW318" s="61"/>
      <c r="AX318" s="61"/>
      <c r="AY318" s="61"/>
      <c r="AZ318" s="61"/>
      <c r="BA318" s="61"/>
      <c r="BB318" s="61"/>
      <c r="BC318" s="61"/>
      <c r="BD318" s="61"/>
      <c r="BE318" s="61"/>
      <c r="BF318" s="61"/>
      <c r="BG318" s="61"/>
      <c r="BH318" s="61"/>
      <c r="BI318" s="6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  <c r="BV318" s="61"/>
      <c r="BW318" s="61"/>
      <c r="BX318" s="61"/>
      <c r="BY318" s="61"/>
    </row>
    <row r="319" spans="1:77">
      <c r="A319" s="10"/>
      <c r="B319" s="10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AS319" s="61"/>
      <c r="AT319" s="61"/>
      <c r="AU319" s="61"/>
      <c r="AV319" s="61"/>
      <c r="AW319" s="61"/>
      <c r="AX319" s="61"/>
      <c r="AY319" s="61"/>
      <c r="AZ319" s="61"/>
      <c r="BA319" s="61"/>
      <c r="BB319" s="61"/>
      <c r="BC319" s="61"/>
      <c r="BD319" s="61"/>
      <c r="BE319" s="61"/>
      <c r="BF319" s="61"/>
      <c r="BG319" s="61"/>
      <c r="BH319" s="61"/>
      <c r="BI319" s="6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  <c r="BV319" s="61"/>
      <c r="BW319" s="61"/>
      <c r="BX319" s="61"/>
      <c r="BY319" s="61"/>
    </row>
    <row r="320" spans="1:77">
      <c r="A320" s="10"/>
      <c r="B320" s="10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AS320" s="61"/>
      <c r="AT320" s="61"/>
      <c r="AU320" s="61"/>
      <c r="AV320" s="61"/>
      <c r="AW320" s="61"/>
      <c r="AX320" s="61"/>
      <c r="AY320" s="61"/>
      <c r="AZ320" s="61"/>
      <c r="BA320" s="61"/>
      <c r="BB320" s="61"/>
      <c r="BC320" s="61"/>
      <c r="BD320" s="61"/>
      <c r="BE320" s="61"/>
      <c r="BF320" s="61"/>
      <c r="BG320" s="61"/>
      <c r="BH320" s="61"/>
      <c r="BI320" s="6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  <c r="BV320" s="61"/>
      <c r="BW320" s="61"/>
      <c r="BX320" s="61"/>
      <c r="BY320" s="61"/>
    </row>
    <row r="321" spans="1:77">
      <c r="A321" s="10"/>
      <c r="B321" s="10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61"/>
      <c r="BE321" s="61"/>
      <c r="BF321" s="61"/>
      <c r="BG321" s="61"/>
      <c r="BH321" s="61"/>
      <c r="BI321" s="6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  <c r="BV321" s="61"/>
      <c r="BW321" s="61"/>
      <c r="BX321" s="61"/>
      <c r="BY321" s="61"/>
    </row>
    <row r="322" spans="1:77">
      <c r="A322" s="10"/>
      <c r="B322" s="10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61"/>
      <c r="BE322" s="61"/>
      <c r="BF322" s="61"/>
      <c r="BG322" s="61"/>
      <c r="BH322" s="61"/>
      <c r="BI322" s="6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  <c r="BV322" s="61"/>
      <c r="BW322" s="61"/>
      <c r="BX322" s="61"/>
      <c r="BY322" s="61"/>
    </row>
    <row r="323" spans="1:77">
      <c r="A323" s="10"/>
      <c r="B323" s="10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AS323" s="61"/>
      <c r="AT323" s="61"/>
      <c r="AU323" s="61"/>
      <c r="AV323" s="61"/>
      <c r="AW323" s="61"/>
      <c r="AX323" s="61"/>
      <c r="AY323" s="61"/>
      <c r="AZ323" s="61"/>
      <c r="BA323" s="61"/>
      <c r="BB323" s="61"/>
      <c r="BC323" s="61"/>
      <c r="BD323" s="61"/>
      <c r="BE323" s="61"/>
      <c r="BF323" s="61"/>
      <c r="BG323" s="61"/>
      <c r="BH323" s="61"/>
      <c r="BI323" s="6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  <c r="BV323" s="61"/>
      <c r="BW323" s="61"/>
      <c r="BX323" s="61"/>
      <c r="BY323" s="61"/>
    </row>
    <row r="324" spans="1:77">
      <c r="A324" s="10"/>
      <c r="B324" s="10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AS324" s="61"/>
      <c r="AT324" s="61"/>
      <c r="AU324" s="61"/>
      <c r="AV324" s="61"/>
      <c r="AW324" s="61"/>
      <c r="AX324" s="61"/>
      <c r="AY324" s="61"/>
      <c r="AZ324" s="61"/>
      <c r="BA324" s="61"/>
      <c r="BB324" s="61"/>
      <c r="BC324" s="61"/>
      <c r="BD324" s="61"/>
      <c r="BE324" s="61"/>
      <c r="BF324" s="61"/>
      <c r="BG324" s="61"/>
      <c r="BH324" s="61"/>
      <c r="BI324" s="6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  <c r="BV324" s="61"/>
      <c r="BW324" s="61"/>
      <c r="BX324" s="61"/>
      <c r="BY324" s="61"/>
    </row>
    <row r="325" spans="1:77">
      <c r="A325" s="10"/>
      <c r="B325" s="10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AS325" s="61"/>
      <c r="AT325" s="61"/>
      <c r="AU325" s="61"/>
      <c r="AV325" s="61"/>
      <c r="AW325" s="61"/>
      <c r="AX325" s="61"/>
      <c r="AY325" s="61"/>
      <c r="AZ325" s="61"/>
      <c r="BA325" s="61"/>
      <c r="BB325" s="61"/>
      <c r="BC325" s="61"/>
      <c r="BD325" s="61"/>
      <c r="BE325" s="61"/>
      <c r="BF325" s="61"/>
      <c r="BG325" s="61"/>
      <c r="BH325" s="61"/>
      <c r="BI325" s="6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  <c r="BV325" s="61"/>
      <c r="BW325" s="61"/>
      <c r="BX325" s="61"/>
      <c r="BY325" s="61"/>
    </row>
    <row r="326" spans="1:77">
      <c r="A326" s="10"/>
      <c r="B326" s="10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AS326" s="61"/>
      <c r="AT326" s="61"/>
      <c r="AU326" s="61"/>
      <c r="AV326" s="61"/>
      <c r="AW326" s="61"/>
      <c r="AX326" s="61"/>
      <c r="AY326" s="61"/>
      <c r="AZ326" s="61"/>
      <c r="BA326" s="61"/>
      <c r="BB326" s="61"/>
      <c r="BC326" s="61"/>
      <c r="BD326" s="61"/>
      <c r="BE326" s="61"/>
      <c r="BF326" s="61"/>
      <c r="BG326" s="61"/>
      <c r="BH326" s="61"/>
      <c r="BI326" s="6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  <c r="BV326" s="61"/>
      <c r="BW326" s="61"/>
      <c r="BX326" s="61"/>
      <c r="BY326" s="61"/>
    </row>
    <row r="327" spans="1:77">
      <c r="A327" s="10"/>
      <c r="B327" s="10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AS327" s="61"/>
      <c r="AT327" s="61"/>
      <c r="AU327" s="61"/>
      <c r="AV327" s="61"/>
      <c r="AW327" s="61"/>
      <c r="AX327" s="61"/>
      <c r="AY327" s="61"/>
      <c r="AZ327" s="61"/>
      <c r="BA327" s="61"/>
      <c r="BB327" s="61"/>
      <c r="BC327" s="61"/>
      <c r="BD327" s="61"/>
      <c r="BE327" s="61"/>
      <c r="BF327" s="61"/>
      <c r="BG327" s="61"/>
      <c r="BH327" s="61"/>
      <c r="BI327" s="6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  <c r="BV327" s="61"/>
      <c r="BW327" s="61"/>
      <c r="BX327" s="61"/>
      <c r="BY327" s="61"/>
    </row>
    <row r="328" spans="1:77">
      <c r="A328" s="10"/>
      <c r="B328" s="1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61"/>
      <c r="BE328" s="61"/>
      <c r="BF328" s="61"/>
      <c r="BG328" s="61"/>
      <c r="BH328" s="61"/>
      <c r="BI328" s="6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  <c r="BV328" s="61"/>
      <c r="BW328" s="61"/>
      <c r="BX328" s="61"/>
      <c r="BY328" s="61"/>
    </row>
    <row r="329" spans="1:77">
      <c r="A329" s="10"/>
      <c r="B329" s="10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6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  <c r="BV329" s="61"/>
      <c r="BW329" s="61"/>
      <c r="BX329" s="61"/>
      <c r="BY329" s="61"/>
    </row>
    <row r="330" spans="1:77">
      <c r="A330" s="10"/>
      <c r="B330" s="10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AS330" s="61"/>
      <c r="AT330" s="61"/>
      <c r="AU330" s="61"/>
      <c r="AV330" s="61"/>
      <c r="AW330" s="61"/>
      <c r="AX330" s="61"/>
      <c r="AY330" s="61"/>
      <c r="AZ330" s="61"/>
      <c r="BA330" s="61"/>
      <c r="BB330" s="61"/>
      <c r="BC330" s="61"/>
      <c r="BD330" s="61"/>
      <c r="BE330" s="61"/>
      <c r="BF330" s="61"/>
      <c r="BG330" s="61"/>
      <c r="BH330" s="61"/>
      <c r="BI330" s="6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  <c r="BV330" s="61"/>
      <c r="BW330" s="61"/>
      <c r="BX330" s="61"/>
      <c r="BY330" s="61"/>
    </row>
    <row r="331" spans="1:77">
      <c r="A331" s="10"/>
      <c r="B331" s="10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D331" s="61"/>
      <c r="BE331" s="61"/>
      <c r="BF331" s="61"/>
      <c r="BG331" s="61"/>
      <c r="BH331" s="61"/>
      <c r="BI331" s="6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  <c r="BV331" s="61"/>
      <c r="BW331" s="61"/>
      <c r="BX331" s="61"/>
      <c r="BY331" s="61"/>
    </row>
    <row r="332" spans="1:77">
      <c r="A332" s="10"/>
      <c r="B332" s="10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AS332" s="61"/>
      <c r="AT332" s="61"/>
      <c r="AU332" s="61"/>
      <c r="AV332" s="61"/>
      <c r="AW332" s="61"/>
      <c r="AX332" s="61"/>
      <c r="AY332" s="61"/>
      <c r="AZ332" s="61"/>
      <c r="BA332" s="61"/>
      <c r="BB332" s="61"/>
      <c r="BC332" s="61"/>
      <c r="BD332" s="61"/>
      <c r="BE332" s="61"/>
      <c r="BF332" s="61"/>
      <c r="BG332" s="61"/>
      <c r="BH332" s="61"/>
      <c r="BI332" s="6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  <c r="BV332" s="61"/>
      <c r="BW332" s="61"/>
      <c r="BX332" s="61"/>
      <c r="BY332" s="61"/>
    </row>
    <row r="333" spans="1:77">
      <c r="A333" s="10"/>
      <c r="B333" s="10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AS333" s="61"/>
      <c r="AT333" s="61"/>
      <c r="AU333" s="61"/>
      <c r="AV333" s="61"/>
      <c r="AW333" s="61"/>
      <c r="AX333" s="61"/>
      <c r="AY333" s="61"/>
      <c r="AZ333" s="61"/>
      <c r="BA333" s="61"/>
      <c r="BB333" s="61"/>
      <c r="BC333" s="61"/>
      <c r="BD333" s="61"/>
      <c r="BE333" s="61"/>
      <c r="BF333" s="61"/>
      <c r="BG333" s="61"/>
      <c r="BH333" s="61"/>
      <c r="BI333" s="6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  <c r="BV333" s="61"/>
      <c r="BW333" s="61"/>
      <c r="BX333" s="61"/>
      <c r="BY333" s="61"/>
    </row>
    <row r="334" spans="1:77">
      <c r="A334" s="10"/>
      <c r="B334" s="10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61"/>
      <c r="BE334" s="61"/>
      <c r="BF334" s="61"/>
      <c r="BG334" s="61"/>
      <c r="BH334" s="61"/>
      <c r="BI334" s="6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  <c r="BV334" s="61"/>
      <c r="BW334" s="61"/>
      <c r="BX334" s="61"/>
      <c r="BY334" s="61"/>
    </row>
    <row r="335" spans="1:77">
      <c r="A335" s="10"/>
      <c r="B335" s="10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61"/>
      <c r="BE335" s="61"/>
      <c r="BF335" s="61"/>
      <c r="BG335" s="61"/>
      <c r="BH335" s="61"/>
      <c r="BI335" s="6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  <c r="BV335" s="61"/>
      <c r="BW335" s="61"/>
      <c r="BX335" s="61"/>
      <c r="BY335" s="61"/>
    </row>
    <row r="336" spans="1:77">
      <c r="A336" s="10"/>
      <c r="B336" s="10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61"/>
      <c r="BI336" s="6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  <c r="BV336" s="61"/>
      <c r="BW336" s="61"/>
      <c r="BX336" s="61"/>
      <c r="BY336" s="61"/>
    </row>
    <row r="337" spans="1:77">
      <c r="A337" s="10"/>
      <c r="B337" s="10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  <c r="BC337" s="61"/>
      <c r="BD337" s="61"/>
      <c r="BE337" s="61"/>
      <c r="BF337" s="61"/>
      <c r="BG337" s="61"/>
      <c r="BH337" s="61"/>
      <c r="BI337" s="6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  <c r="BV337" s="61"/>
      <c r="BW337" s="61"/>
      <c r="BX337" s="61"/>
      <c r="BY337" s="61"/>
    </row>
    <row r="338" spans="1:77">
      <c r="A338" s="10"/>
      <c r="B338" s="10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61"/>
      <c r="BI338" s="6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  <c r="BV338" s="61"/>
      <c r="BW338" s="61"/>
      <c r="BX338" s="61"/>
      <c r="BY338" s="61"/>
    </row>
    <row r="339" spans="1:77">
      <c r="A339" s="10"/>
      <c r="B339" s="10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AS339" s="61"/>
      <c r="AT339" s="61"/>
      <c r="AU339" s="61"/>
      <c r="AV339" s="61"/>
      <c r="AW339" s="61"/>
      <c r="AX339" s="61"/>
      <c r="AY339" s="61"/>
      <c r="AZ339" s="61"/>
      <c r="BA339" s="61"/>
      <c r="BB339" s="61"/>
      <c r="BC339" s="61"/>
      <c r="BD339" s="61"/>
      <c r="BE339" s="61"/>
      <c r="BF339" s="61"/>
      <c r="BG339" s="61"/>
      <c r="BH339" s="61"/>
      <c r="BI339" s="6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  <c r="BV339" s="61"/>
      <c r="BW339" s="61"/>
      <c r="BX339" s="61"/>
      <c r="BY339" s="61"/>
    </row>
    <row r="340" spans="1:77">
      <c r="A340" s="10"/>
      <c r="B340" s="10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61"/>
      <c r="BI340" s="6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  <c r="BV340" s="61"/>
      <c r="BW340" s="61"/>
      <c r="BX340" s="61"/>
      <c r="BY340" s="61"/>
    </row>
    <row r="341" spans="1:77">
      <c r="A341" s="10"/>
      <c r="B341" s="10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61"/>
      <c r="BI341" s="6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  <c r="BV341" s="61"/>
      <c r="BW341" s="61"/>
      <c r="BX341" s="61"/>
      <c r="BY341" s="61"/>
    </row>
    <row r="342" spans="1:77">
      <c r="A342" s="10"/>
      <c r="B342" s="1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AS342" s="61"/>
      <c r="AT342" s="61"/>
      <c r="AU342" s="61"/>
      <c r="AV342" s="61"/>
      <c r="AW342" s="61"/>
      <c r="AX342" s="61"/>
      <c r="AY342" s="61"/>
      <c r="AZ342" s="61"/>
      <c r="BA342" s="61"/>
      <c r="BB342" s="61"/>
      <c r="BC342" s="61"/>
      <c r="BD342" s="61"/>
      <c r="BE342" s="61"/>
      <c r="BF342" s="61"/>
      <c r="BG342" s="61"/>
      <c r="BH342" s="61"/>
      <c r="BI342" s="6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  <c r="BV342" s="61"/>
      <c r="BW342" s="61"/>
      <c r="BX342" s="61"/>
      <c r="BY342" s="61"/>
    </row>
    <row r="343" spans="1:77">
      <c r="A343" s="10"/>
      <c r="B343" s="10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6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  <c r="BV343" s="61"/>
      <c r="BW343" s="61"/>
      <c r="BX343" s="61"/>
      <c r="BY343" s="61"/>
    </row>
    <row r="344" spans="1:77">
      <c r="A344" s="10"/>
      <c r="B344" s="10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61"/>
      <c r="BI344" s="6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  <c r="BV344" s="61"/>
      <c r="BW344" s="61"/>
      <c r="BX344" s="61"/>
      <c r="BY344" s="61"/>
    </row>
    <row r="345" spans="1:77">
      <c r="A345" s="10"/>
      <c r="B345" s="10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61"/>
      <c r="BI345" s="6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  <c r="BV345" s="61"/>
      <c r="BW345" s="61"/>
      <c r="BX345" s="61"/>
      <c r="BY345" s="61"/>
    </row>
    <row r="346" spans="1:77">
      <c r="A346" s="10"/>
      <c r="B346" s="10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6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  <c r="BV346" s="61"/>
      <c r="BW346" s="61"/>
      <c r="BX346" s="61"/>
      <c r="BY346" s="61"/>
    </row>
    <row r="347" spans="1:77">
      <c r="A347" s="10"/>
      <c r="B347" s="10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AS347" s="61"/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61"/>
      <c r="BI347" s="6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  <c r="BV347" s="61"/>
      <c r="BW347" s="61"/>
      <c r="BX347" s="61"/>
      <c r="BY347" s="61"/>
    </row>
    <row r="348" spans="1:77">
      <c r="A348" s="10"/>
      <c r="B348" s="10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AS348" s="61"/>
      <c r="AT348" s="61"/>
      <c r="AU348" s="61"/>
      <c r="AV348" s="61"/>
      <c r="AW348" s="61"/>
      <c r="AX348" s="61"/>
      <c r="AY348" s="61"/>
      <c r="AZ348" s="61"/>
      <c r="BA348" s="61"/>
      <c r="BB348" s="61"/>
      <c r="BC348" s="61"/>
      <c r="BD348" s="61"/>
      <c r="BE348" s="61"/>
      <c r="BF348" s="61"/>
      <c r="BG348" s="61"/>
      <c r="BH348" s="61"/>
      <c r="BI348" s="6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  <c r="BV348" s="61"/>
      <c r="BW348" s="61"/>
      <c r="BX348" s="61"/>
      <c r="BY348" s="61"/>
    </row>
    <row r="349" spans="1:77">
      <c r="A349" s="10"/>
      <c r="B349" s="10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AS349" s="61"/>
      <c r="AT349" s="61"/>
      <c r="AU349" s="61"/>
      <c r="AV349" s="61"/>
      <c r="AW349" s="61"/>
      <c r="AX349" s="61"/>
      <c r="AY349" s="61"/>
      <c r="AZ349" s="61"/>
      <c r="BA349" s="61"/>
      <c r="BB349" s="61"/>
      <c r="BC349" s="61"/>
      <c r="BD349" s="61"/>
      <c r="BE349" s="61"/>
      <c r="BF349" s="61"/>
      <c r="BG349" s="61"/>
      <c r="BH349" s="61"/>
      <c r="BI349" s="6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  <c r="BV349" s="61"/>
      <c r="BW349" s="61"/>
      <c r="BX349" s="61"/>
      <c r="BY349" s="61"/>
    </row>
    <row r="350" spans="1:77">
      <c r="A350" s="10"/>
      <c r="B350" s="10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6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  <c r="BV350" s="61"/>
      <c r="BW350" s="61"/>
      <c r="BX350" s="61"/>
      <c r="BY350" s="61"/>
    </row>
    <row r="351" spans="1:77">
      <c r="A351" s="10"/>
      <c r="B351" s="10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/>
      <c r="BE351" s="61"/>
      <c r="BF351" s="61"/>
      <c r="BG351" s="61"/>
      <c r="BH351" s="61"/>
      <c r="BI351" s="6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  <c r="BV351" s="61"/>
      <c r="BW351" s="61"/>
      <c r="BX351" s="61"/>
      <c r="BY351" s="61"/>
    </row>
    <row r="352" spans="1:77">
      <c r="A352" s="10"/>
      <c r="B352" s="10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/>
      <c r="BE352" s="61"/>
      <c r="BF352" s="61"/>
      <c r="BG352" s="61"/>
      <c r="BH352" s="61"/>
      <c r="BI352" s="6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  <c r="BV352" s="61"/>
      <c r="BW352" s="61"/>
      <c r="BX352" s="61"/>
      <c r="BY352" s="61"/>
    </row>
    <row r="353" spans="1:77">
      <c r="A353" s="10"/>
      <c r="B353" s="10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6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  <c r="BV353" s="61"/>
      <c r="BW353" s="61"/>
      <c r="BX353" s="61"/>
      <c r="BY353" s="61"/>
    </row>
    <row r="354" spans="1:77">
      <c r="A354" s="10"/>
      <c r="B354" s="10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6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  <c r="BV354" s="61"/>
      <c r="BW354" s="61"/>
      <c r="BX354" s="61"/>
      <c r="BY354" s="61"/>
    </row>
    <row r="355" spans="1:77">
      <c r="A355" s="10"/>
      <c r="B355" s="10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6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  <c r="BV355" s="61"/>
      <c r="BW355" s="61"/>
      <c r="BX355" s="61"/>
      <c r="BY355" s="61"/>
    </row>
    <row r="356" spans="1:77">
      <c r="A356" s="10"/>
      <c r="B356" s="10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AS356" s="61"/>
      <c r="AT356" s="61"/>
      <c r="AU356" s="61"/>
      <c r="AV356" s="61"/>
      <c r="AW356" s="61"/>
      <c r="AX356" s="61"/>
      <c r="AY356" s="61"/>
      <c r="AZ356" s="61"/>
      <c r="BA356" s="61"/>
      <c r="BB356" s="61"/>
      <c r="BC356" s="61"/>
      <c r="BD356" s="61"/>
      <c r="BE356" s="61"/>
      <c r="BF356" s="61"/>
      <c r="BG356" s="61"/>
      <c r="BH356" s="61"/>
      <c r="BI356" s="6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  <c r="BV356" s="61"/>
      <c r="BW356" s="61"/>
      <c r="BX356" s="61"/>
      <c r="BY356" s="61"/>
    </row>
    <row r="357" spans="1:77">
      <c r="A357" s="10"/>
      <c r="B357" s="10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AS357" s="61"/>
      <c r="AT357" s="61"/>
      <c r="AU357" s="61"/>
      <c r="AV357" s="61"/>
      <c r="AW357" s="61"/>
      <c r="AX357" s="61"/>
      <c r="AY357" s="61"/>
      <c r="AZ357" s="61"/>
      <c r="BA357" s="61"/>
      <c r="BB357" s="61"/>
      <c r="BC357" s="61"/>
      <c r="BD357" s="61"/>
      <c r="BE357" s="61"/>
      <c r="BF357" s="61"/>
      <c r="BG357" s="61"/>
      <c r="BH357" s="61"/>
      <c r="BI357" s="6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  <c r="BV357" s="61"/>
      <c r="BW357" s="61"/>
      <c r="BX357" s="61"/>
      <c r="BY357" s="61"/>
    </row>
    <row r="358" spans="1:77">
      <c r="A358" s="10"/>
      <c r="B358" s="10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  <c r="BY358" s="61"/>
    </row>
    <row r="359" spans="1:77">
      <c r="A359" s="10"/>
      <c r="B359" s="10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AS359" s="61"/>
      <c r="AT359" s="61"/>
      <c r="AU359" s="61"/>
      <c r="AV359" s="61"/>
      <c r="AW359" s="61"/>
      <c r="AX359" s="61"/>
      <c r="AY359" s="61"/>
      <c r="AZ359" s="61"/>
      <c r="BA359" s="61"/>
      <c r="BB359" s="61"/>
      <c r="BC359" s="61"/>
      <c r="BD359" s="61"/>
      <c r="BE359" s="61"/>
      <c r="BF359" s="61"/>
      <c r="BG359" s="61"/>
      <c r="BH359" s="61"/>
      <c r="BI359" s="6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  <c r="BV359" s="61"/>
      <c r="BW359" s="61"/>
      <c r="BX359" s="61"/>
      <c r="BY359" s="61"/>
    </row>
    <row r="360" spans="1:77">
      <c r="A360" s="10"/>
      <c r="B360" s="10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61"/>
      <c r="BI360" s="6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  <c r="BV360" s="61"/>
      <c r="BW360" s="61"/>
      <c r="BX360" s="61"/>
      <c r="BY360" s="61"/>
    </row>
    <row r="361" spans="1:77">
      <c r="A361" s="10"/>
      <c r="B361" s="10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61"/>
      <c r="BI361" s="6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  <c r="BV361" s="61"/>
      <c r="BW361" s="61"/>
      <c r="BX361" s="61"/>
      <c r="BY361" s="61"/>
    </row>
    <row r="362" spans="1:77">
      <c r="A362" s="10"/>
      <c r="B362" s="10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AS362" s="61"/>
      <c r="AT362" s="61"/>
      <c r="AU362" s="61"/>
      <c r="AV362" s="61"/>
      <c r="AW362" s="61"/>
      <c r="AX362" s="61"/>
      <c r="AY362" s="61"/>
      <c r="AZ362" s="61"/>
      <c r="BA362" s="61"/>
      <c r="BB362" s="61"/>
      <c r="BC362" s="61"/>
      <c r="BD362" s="61"/>
      <c r="BE362" s="61"/>
      <c r="BF362" s="61"/>
      <c r="BG362" s="61"/>
      <c r="BH362" s="61"/>
      <c r="BI362" s="6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  <c r="BV362" s="61"/>
      <c r="BW362" s="61"/>
      <c r="BX362" s="61"/>
      <c r="BY362" s="61"/>
    </row>
    <row r="363" spans="1:77">
      <c r="A363" s="10"/>
      <c r="B363" s="10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AS363" s="61"/>
      <c r="AT363" s="61"/>
      <c r="AU363" s="61"/>
      <c r="AV363" s="61"/>
      <c r="AW363" s="61"/>
      <c r="AX363" s="61"/>
      <c r="AY363" s="61"/>
      <c r="AZ363" s="61"/>
      <c r="BA363" s="61"/>
      <c r="BB363" s="61"/>
      <c r="BC363" s="61"/>
      <c r="BD363" s="61"/>
      <c r="BE363" s="61"/>
      <c r="BF363" s="61"/>
      <c r="BG363" s="61"/>
      <c r="BH363" s="61"/>
      <c r="BI363" s="6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  <c r="BV363" s="61"/>
      <c r="BW363" s="61"/>
      <c r="BX363" s="61"/>
      <c r="BY363" s="61"/>
    </row>
    <row r="364" spans="1:77">
      <c r="A364" s="10"/>
      <c r="B364" s="10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AS364" s="61"/>
      <c r="AT364" s="61"/>
      <c r="AU364" s="61"/>
      <c r="AV364" s="61"/>
      <c r="AW364" s="61"/>
      <c r="AX364" s="61"/>
      <c r="AY364" s="61"/>
      <c r="AZ364" s="61"/>
      <c r="BA364" s="61"/>
      <c r="BB364" s="61"/>
      <c r="BC364" s="61"/>
      <c r="BD364" s="61"/>
      <c r="BE364" s="61"/>
      <c r="BF364" s="61"/>
      <c r="BG364" s="61"/>
      <c r="BH364" s="61"/>
      <c r="BI364" s="6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  <c r="BV364" s="61"/>
      <c r="BW364" s="61"/>
      <c r="BX364" s="61"/>
      <c r="BY364" s="61"/>
    </row>
    <row r="365" spans="1:77">
      <c r="A365" s="10"/>
      <c r="B365" s="10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  <c r="BY365" s="61"/>
    </row>
    <row r="366" spans="1:77">
      <c r="A366" s="10"/>
      <c r="B366" s="10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AS366" s="61"/>
      <c r="AT366" s="61"/>
      <c r="AU366" s="61"/>
      <c r="AV366" s="61"/>
      <c r="AW366" s="61"/>
      <c r="AX366" s="61"/>
      <c r="AY366" s="61"/>
      <c r="AZ366" s="61"/>
      <c r="BA366" s="61"/>
      <c r="BB366" s="61"/>
      <c r="BC366" s="61"/>
      <c r="BD366" s="61"/>
      <c r="BE366" s="61"/>
      <c r="BF366" s="61"/>
      <c r="BG366" s="61"/>
      <c r="BH366" s="61"/>
      <c r="BI366" s="6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  <c r="BV366" s="61"/>
      <c r="BW366" s="61"/>
      <c r="BX366" s="61"/>
      <c r="BY366" s="61"/>
    </row>
    <row r="367" spans="1:77">
      <c r="A367" s="10"/>
      <c r="B367" s="10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AS367" s="61"/>
      <c r="AT367" s="61"/>
      <c r="AU367" s="61"/>
      <c r="AV367" s="61"/>
      <c r="AW367" s="61"/>
      <c r="AX367" s="61"/>
      <c r="AY367" s="61"/>
      <c r="AZ367" s="61"/>
      <c r="BA367" s="61"/>
      <c r="BB367" s="61"/>
      <c r="BC367" s="61"/>
      <c r="BD367" s="61"/>
      <c r="BE367" s="61"/>
      <c r="BF367" s="61"/>
      <c r="BG367" s="61"/>
      <c r="BH367" s="61"/>
      <c r="BI367" s="6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  <c r="BV367" s="61"/>
      <c r="BW367" s="61"/>
      <c r="BX367" s="61"/>
      <c r="BY367" s="61"/>
    </row>
    <row r="368" spans="1:77">
      <c r="A368" s="10"/>
      <c r="B368" s="10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AS368" s="61"/>
      <c r="AT368" s="61"/>
      <c r="AU368" s="61"/>
      <c r="AV368" s="61"/>
      <c r="AW368" s="61"/>
      <c r="AX368" s="61"/>
      <c r="AY368" s="61"/>
      <c r="AZ368" s="61"/>
      <c r="BA368" s="61"/>
      <c r="BB368" s="61"/>
      <c r="BC368" s="61"/>
      <c r="BD368" s="61"/>
      <c r="BE368" s="61"/>
      <c r="BF368" s="61"/>
      <c r="BG368" s="61"/>
      <c r="BH368" s="61"/>
      <c r="BI368" s="6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  <c r="BV368" s="61"/>
      <c r="BW368" s="61"/>
      <c r="BX368" s="61"/>
      <c r="BY368" s="61"/>
    </row>
    <row r="369" spans="1:77">
      <c r="A369" s="10"/>
      <c r="B369" s="10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  <c r="BY369" s="61"/>
    </row>
    <row r="370" spans="1:77">
      <c r="A370" s="10"/>
      <c r="B370" s="10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AS370" s="61"/>
      <c r="AT370" s="61"/>
      <c r="AU370" s="61"/>
      <c r="AV370" s="61"/>
      <c r="AW370" s="61"/>
      <c r="AX370" s="61"/>
      <c r="AY370" s="61"/>
      <c r="AZ370" s="61"/>
      <c r="BA370" s="61"/>
      <c r="BB370" s="61"/>
      <c r="BC370" s="61"/>
      <c r="BD370" s="61"/>
      <c r="BE370" s="61"/>
      <c r="BF370" s="61"/>
      <c r="BG370" s="61"/>
      <c r="BH370" s="61"/>
      <c r="BI370" s="6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  <c r="BV370" s="61"/>
      <c r="BW370" s="61"/>
      <c r="BX370" s="61"/>
      <c r="BY370" s="61"/>
    </row>
    <row r="371" spans="1:77">
      <c r="A371" s="10"/>
      <c r="B371" s="10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AS371" s="61"/>
      <c r="AT371" s="61"/>
      <c r="AU371" s="61"/>
      <c r="AV371" s="61"/>
      <c r="AW371" s="61"/>
      <c r="AX371" s="61"/>
      <c r="AY371" s="61"/>
      <c r="AZ371" s="61"/>
      <c r="BA371" s="61"/>
      <c r="BB371" s="61"/>
      <c r="BC371" s="61"/>
      <c r="BD371" s="61"/>
      <c r="BE371" s="61"/>
      <c r="BF371" s="61"/>
      <c r="BG371" s="61"/>
      <c r="BH371" s="61"/>
      <c r="BI371" s="6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  <c r="BV371" s="61"/>
      <c r="BW371" s="61"/>
      <c r="BX371" s="61"/>
      <c r="BY371" s="61"/>
    </row>
    <row r="372" spans="1:77">
      <c r="A372" s="10"/>
      <c r="B372" s="10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AS372" s="61"/>
      <c r="AT372" s="61"/>
      <c r="AU372" s="61"/>
      <c r="AV372" s="61"/>
      <c r="AW372" s="61"/>
      <c r="AX372" s="61"/>
      <c r="AY372" s="61"/>
      <c r="AZ372" s="61"/>
      <c r="BA372" s="61"/>
      <c r="BB372" s="61"/>
      <c r="BC372" s="61"/>
      <c r="BD372" s="61"/>
      <c r="BE372" s="61"/>
      <c r="BF372" s="61"/>
      <c r="BG372" s="61"/>
      <c r="BH372" s="61"/>
      <c r="BI372" s="6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  <c r="BV372" s="61"/>
      <c r="BW372" s="61"/>
      <c r="BX372" s="61"/>
      <c r="BY372" s="61"/>
    </row>
    <row r="373" spans="1:77">
      <c r="A373" s="10"/>
      <c r="B373" s="10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AS373" s="61"/>
      <c r="AT373" s="61"/>
      <c r="AU373" s="61"/>
      <c r="AV373" s="61"/>
      <c r="AW373" s="61"/>
      <c r="AX373" s="61"/>
      <c r="AY373" s="61"/>
      <c r="AZ373" s="61"/>
      <c r="BA373" s="61"/>
      <c r="BB373" s="61"/>
      <c r="BC373" s="61"/>
      <c r="BD373" s="61"/>
      <c r="BE373" s="61"/>
      <c r="BF373" s="61"/>
      <c r="BG373" s="61"/>
      <c r="BH373" s="61"/>
      <c r="BI373" s="6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  <c r="BV373" s="61"/>
      <c r="BW373" s="61"/>
      <c r="BX373" s="61"/>
      <c r="BY373" s="61"/>
    </row>
    <row r="374" spans="1:77">
      <c r="A374" s="10"/>
      <c r="B374" s="10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AS374" s="61"/>
      <c r="AT374" s="61"/>
      <c r="AU374" s="61"/>
      <c r="AV374" s="61"/>
      <c r="AW374" s="61"/>
      <c r="AX374" s="61"/>
      <c r="AY374" s="61"/>
      <c r="AZ374" s="61"/>
      <c r="BA374" s="61"/>
      <c r="BB374" s="61"/>
      <c r="BC374" s="61"/>
      <c r="BD374" s="61"/>
      <c r="BE374" s="61"/>
      <c r="BF374" s="61"/>
      <c r="BG374" s="61"/>
      <c r="BH374" s="61"/>
      <c r="BI374" s="6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  <c r="BV374" s="61"/>
      <c r="BW374" s="61"/>
      <c r="BX374" s="61"/>
      <c r="BY374" s="61"/>
    </row>
    <row r="375" spans="1:77">
      <c r="A375" s="10"/>
      <c r="B375" s="10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AS375" s="61"/>
      <c r="AT375" s="61"/>
      <c r="AU375" s="61"/>
      <c r="AV375" s="61"/>
      <c r="AW375" s="61"/>
      <c r="AX375" s="61"/>
      <c r="AY375" s="61"/>
      <c r="AZ375" s="61"/>
      <c r="BA375" s="61"/>
      <c r="BB375" s="61"/>
      <c r="BC375" s="61"/>
      <c r="BD375" s="61"/>
      <c r="BE375" s="61"/>
      <c r="BF375" s="61"/>
      <c r="BG375" s="61"/>
      <c r="BH375" s="61"/>
      <c r="BI375" s="6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  <c r="BV375" s="61"/>
      <c r="BW375" s="61"/>
      <c r="BX375" s="61"/>
      <c r="BY375" s="61"/>
    </row>
    <row r="376" spans="1:77">
      <c r="A376" s="10"/>
      <c r="B376" s="10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61"/>
      <c r="BI376" s="6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  <c r="BV376" s="61"/>
      <c r="BW376" s="61"/>
      <c r="BX376" s="61"/>
      <c r="BY376" s="61"/>
    </row>
    <row r="377" spans="1:77">
      <c r="A377" s="10"/>
      <c r="B377" s="10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AS377" s="61"/>
      <c r="AT377" s="61"/>
      <c r="AU377" s="61"/>
      <c r="AV377" s="61"/>
      <c r="AW377" s="61"/>
      <c r="AX377" s="61"/>
      <c r="AY377" s="61"/>
      <c r="AZ377" s="61"/>
      <c r="BA377" s="61"/>
      <c r="BB377" s="61"/>
      <c r="BC377" s="61"/>
      <c r="BD377" s="61"/>
      <c r="BE377" s="61"/>
      <c r="BF377" s="61"/>
      <c r="BG377" s="61"/>
      <c r="BH377" s="61"/>
      <c r="BI377" s="6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  <c r="BV377" s="61"/>
      <c r="BW377" s="61"/>
      <c r="BX377" s="61"/>
      <c r="BY377" s="61"/>
    </row>
    <row r="378" spans="1:77">
      <c r="A378" s="10"/>
      <c r="B378" s="10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AS378" s="61"/>
      <c r="AT378" s="61"/>
      <c r="AU378" s="61"/>
      <c r="AV378" s="61"/>
      <c r="AW378" s="61"/>
      <c r="AX378" s="61"/>
      <c r="AY378" s="61"/>
      <c r="AZ378" s="61"/>
      <c r="BA378" s="61"/>
      <c r="BB378" s="61"/>
      <c r="BC378" s="61"/>
      <c r="BD378" s="61"/>
      <c r="BE378" s="61"/>
      <c r="BF378" s="61"/>
      <c r="BG378" s="61"/>
      <c r="BH378" s="61"/>
      <c r="BI378" s="6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  <c r="BV378" s="61"/>
      <c r="BW378" s="61"/>
      <c r="BX378" s="61"/>
      <c r="BY378" s="61"/>
    </row>
    <row r="379" spans="1:77">
      <c r="A379" s="10"/>
      <c r="B379" s="10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AS379" s="61"/>
      <c r="AT379" s="61"/>
      <c r="AU379" s="61"/>
      <c r="AV379" s="61"/>
      <c r="AW379" s="61"/>
      <c r="AX379" s="61"/>
      <c r="AY379" s="61"/>
      <c r="AZ379" s="61"/>
      <c r="BA379" s="61"/>
      <c r="BB379" s="61"/>
      <c r="BC379" s="61"/>
      <c r="BD379" s="61"/>
      <c r="BE379" s="61"/>
      <c r="BF379" s="61"/>
      <c r="BG379" s="61"/>
      <c r="BH379" s="61"/>
      <c r="BI379" s="6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  <c r="BV379" s="61"/>
      <c r="BW379" s="61"/>
      <c r="BX379" s="61"/>
      <c r="BY379" s="61"/>
    </row>
    <row r="380" spans="1:77">
      <c r="A380" s="10"/>
      <c r="B380" s="1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AS380" s="61"/>
      <c r="AT380" s="61"/>
      <c r="AU380" s="61"/>
      <c r="AV380" s="61"/>
      <c r="AW380" s="61"/>
      <c r="AX380" s="61"/>
      <c r="AY380" s="61"/>
      <c r="AZ380" s="61"/>
      <c r="BA380" s="61"/>
      <c r="BB380" s="61"/>
      <c r="BC380" s="61"/>
      <c r="BD380" s="61"/>
      <c r="BE380" s="61"/>
      <c r="BF380" s="61"/>
      <c r="BG380" s="61"/>
      <c r="BH380" s="61"/>
      <c r="BI380" s="6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  <c r="BV380" s="61"/>
      <c r="BW380" s="61"/>
      <c r="BX380" s="61"/>
      <c r="BY380" s="61"/>
    </row>
    <row r="381" spans="1:77">
      <c r="A381" s="10"/>
      <c r="B381" s="10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AS381" s="61"/>
      <c r="AT381" s="61"/>
      <c r="AU381" s="61"/>
      <c r="AV381" s="61"/>
      <c r="AW381" s="61"/>
      <c r="AX381" s="61"/>
      <c r="AY381" s="61"/>
      <c r="AZ381" s="61"/>
      <c r="BA381" s="61"/>
      <c r="BB381" s="61"/>
      <c r="BC381" s="61"/>
      <c r="BD381" s="61"/>
      <c r="BE381" s="61"/>
      <c r="BF381" s="61"/>
      <c r="BG381" s="61"/>
      <c r="BH381" s="61"/>
      <c r="BI381" s="6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  <c r="BV381" s="61"/>
      <c r="BW381" s="61"/>
      <c r="BX381" s="61"/>
      <c r="BY381" s="61"/>
    </row>
    <row r="382" spans="1:77">
      <c r="A382" s="10"/>
      <c r="B382" s="10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AS382" s="61"/>
      <c r="AT382" s="61"/>
      <c r="AU382" s="61"/>
      <c r="AV382" s="61"/>
      <c r="AW382" s="61"/>
      <c r="AX382" s="61"/>
      <c r="AY382" s="61"/>
      <c r="AZ382" s="61"/>
      <c r="BA382" s="61"/>
      <c r="BB382" s="61"/>
      <c r="BC382" s="61"/>
      <c r="BD382" s="61"/>
      <c r="BE382" s="61"/>
      <c r="BF382" s="61"/>
      <c r="BG382" s="61"/>
      <c r="BH382" s="61"/>
      <c r="BI382" s="6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  <c r="BV382" s="61"/>
      <c r="BW382" s="61"/>
      <c r="BX382" s="61"/>
      <c r="BY382" s="61"/>
    </row>
    <row r="383" spans="1:77">
      <c r="A383" s="10"/>
      <c r="B383" s="10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AS383" s="61"/>
      <c r="AT383" s="61"/>
      <c r="AU383" s="61"/>
      <c r="AV383" s="61"/>
      <c r="AW383" s="61"/>
      <c r="AX383" s="61"/>
      <c r="AY383" s="61"/>
      <c r="AZ383" s="61"/>
      <c r="BA383" s="61"/>
      <c r="BB383" s="61"/>
      <c r="BC383" s="61"/>
      <c r="BD383" s="61"/>
      <c r="BE383" s="61"/>
      <c r="BF383" s="61"/>
      <c r="BG383" s="61"/>
      <c r="BH383" s="61"/>
      <c r="BI383" s="6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  <c r="BV383" s="61"/>
      <c r="BW383" s="61"/>
      <c r="BX383" s="61"/>
      <c r="BY383" s="61"/>
    </row>
    <row r="384" spans="1:77">
      <c r="A384" s="10"/>
      <c r="B384" s="10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AS384" s="61"/>
      <c r="AT384" s="61"/>
      <c r="AU384" s="61"/>
      <c r="AV384" s="61"/>
      <c r="AW384" s="61"/>
      <c r="AX384" s="61"/>
      <c r="AY384" s="61"/>
      <c r="AZ384" s="61"/>
      <c r="BA384" s="61"/>
      <c r="BB384" s="61"/>
      <c r="BC384" s="61"/>
      <c r="BD384" s="61"/>
      <c r="BE384" s="61"/>
      <c r="BF384" s="61"/>
      <c r="BG384" s="61"/>
      <c r="BH384" s="61"/>
      <c r="BI384" s="6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  <c r="BV384" s="61"/>
      <c r="BW384" s="61"/>
      <c r="BX384" s="61"/>
      <c r="BY384" s="61"/>
    </row>
    <row r="385" spans="1:77">
      <c r="A385" s="10"/>
      <c r="B385" s="10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AS385" s="61"/>
      <c r="AT385" s="61"/>
      <c r="AU385" s="61"/>
      <c r="AV385" s="61"/>
      <c r="AW385" s="61"/>
      <c r="AX385" s="61"/>
      <c r="AY385" s="61"/>
      <c r="AZ385" s="61"/>
      <c r="BA385" s="61"/>
      <c r="BB385" s="61"/>
      <c r="BC385" s="61"/>
      <c r="BD385" s="61"/>
      <c r="BE385" s="61"/>
      <c r="BF385" s="61"/>
      <c r="BG385" s="61"/>
      <c r="BH385" s="61"/>
      <c r="BI385" s="6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  <c r="BV385" s="61"/>
      <c r="BW385" s="61"/>
      <c r="BX385" s="61"/>
      <c r="BY385" s="61"/>
    </row>
    <row r="386" spans="1:77">
      <c r="A386" s="10"/>
      <c r="B386" s="10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AS386" s="61"/>
      <c r="AT386" s="61"/>
      <c r="AU386" s="61"/>
      <c r="AV386" s="61"/>
      <c r="AW386" s="61"/>
      <c r="AX386" s="61"/>
      <c r="AY386" s="61"/>
      <c r="AZ386" s="61"/>
      <c r="BA386" s="61"/>
      <c r="BB386" s="61"/>
      <c r="BC386" s="61"/>
      <c r="BD386" s="61"/>
      <c r="BE386" s="61"/>
      <c r="BF386" s="61"/>
      <c r="BG386" s="61"/>
      <c r="BH386" s="61"/>
      <c r="BI386" s="6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  <c r="BV386" s="61"/>
      <c r="BW386" s="61"/>
      <c r="BX386" s="61"/>
      <c r="BY386" s="61"/>
    </row>
    <row r="387" spans="1:77">
      <c r="A387" s="10"/>
      <c r="B387" s="10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AS387" s="61"/>
      <c r="AT387" s="61"/>
      <c r="AU387" s="61"/>
      <c r="AV387" s="61"/>
      <c r="AW387" s="61"/>
      <c r="AX387" s="61"/>
      <c r="AY387" s="61"/>
      <c r="AZ387" s="61"/>
      <c r="BA387" s="61"/>
      <c r="BB387" s="61"/>
      <c r="BC387" s="61"/>
      <c r="BD387" s="61"/>
      <c r="BE387" s="61"/>
      <c r="BF387" s="61"/>
      <c r="BG387" s="61"/>
      <c r="BH387" s="61"/>
      <c r="BI387" s="6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  <c r="BV387" s="61"/>
      <c r="BW387" s="61"/>
      <c r="BX387" s="61"/>
      <c r="BY387" s="61"/>
    </row>
    <row r="388" spans="1:77">
      <c r="A388" s="10"/>
      <c r="B388" s="10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AS388" s="61"/>
      <c r="AT388" s="61"/>
      <c r="AU388" s="61"/>
      <c r="AV388" s="61"/>
      <c r="AW388" s="61"/>
      <c r="AX388" s="61"/>
      <c r="AY388" s="61"/>
      <c r="AZ388" s="61"/>
      <c r="BA388" s="61"/>
      <c r="BB388" s="61"/>
      <c r="BC388" s="61"/>
      <c r="BD388" s="61"/>
      <c r="BE388" s="61"/>
      <c r="BF388" s="61"/>
      <c r="BG388" s="61"/>
      <c r="BH388" s="61"/>
      <c r="BI388" s="6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  <c r="BV388" s="61"/>
      <c r="BW388" s="61"/>
      <c r="BX388" s="61"/>
      <c r="BY388" s="61"/>
    </row>
    <row r="389" spans="1:77">
      <c r="A389" s="10"/>
      <c r="B389" s="10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61"/>
      <c r="BD389" s="61"/>
      <c r="BE389" s="61"/>
      <c r="BF389" s="61"/>
      <c r="BG389" s="61"/>
      <c r="BH389" s="61"/>
      <c r="BI389" s="6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  <c r="BV389" s="61"/>
      <c r="BW389" s="61"/>
      <c r="BX389" s="61"/>
      <c r="BY389" s="61"/>
    </row>
    <row r="390" spans="1:77">
      <c r="A390" s="10"/>
      <c r="B390" s="10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AS390" s="61"/>
      <c r="AT390" s="61"/>
      <c r="AU390" s="61"/>
      <c r="AV390" s="61"/>
      <c r="AW390" s="61"/>
      <c r="AX390" s="61"/>
      <c r="AY390" s="61"/>
      <c r="AZ390" s="61"/>
      <c r="BA390" s="61"/>
      <c r="BB390" s="61"/>
      <c r="BC390" s="61"/>
      <c r="BD390" s="61"/>
      <c r="BE390" s="61"/>
      <c r="BF390" s="61"/>
      <c r="BG390" s="61"/>
      <c r="BH390" s="61"/>
      <c r="BI390" s="6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  <c r="BV390" s="61"/>
      <c r="BW390" s="61"/>
      <c r="BX390" s="61"/>
      <c r="BY390" s="61"/>
    </row>
    <row r="391" spans="1:77">
      <c r="A391" s="10"/>
      <c r="B391" s="10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1"/>
      <c r="BD391" s="61"/>
      <c r="BE391" s="61"/>
      <c r="BF391" s="61"/>
      <c r="BG391" s="61"/>
      <c r="BH391" s="61"/>
      <c r="BI391" s="6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  <c r="BV391" s="61"/>
      <c r="BW391" s="61"/>
      <c r="BX391" s="61"/>
      <c r="BY391" s="61"/>
    </row>
    <row r="392" spans="1:77">
      <c r="A392" s="10"/>
      <c r="B392" s="10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61"/>
      <c r="BD392" s="61"/>
      <c r="BE392" s="61"/>
      <c r="BF392" s="61"/>
      <c r="BG392" s="61"/>
      <c r="BH392" s="61"/>
      <c r="BI392" s="6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  <c r="BV392" s="61"/>
      <c r="BW392" s="61"/>
      <c r="BX392" s="61"/>
      <c r="BY392" s="61"/>
    </row>
    <row r="393" spans="1:77">
      <c r="A393" s="10"/>
      <c r="B393" s="10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61"/>
      <c r="BD393" s="61"/>
      <c r="BE393" s="61"/>
      <c r="BF393" s="61"/>
      <c r="BG393" s="61"/>
      <c r="BH393" s="61"/>
      <c r="BI393" s="6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  <c r="BV393" s="61"/>
      <c r="BW393" s="61"/>
      <c r="BX393" s="61"/>
      <c r="BY393" s="61"/>
    </row>
    <row r="394" spans="1:77">
      <c r="A394" s="10"/>
      <c r="B394" s="10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61"/>
      <c r="BD394" s="61"/>
      <c r="BE394" s="61"/>
      <c r="BF394" s="61"/>
      <c r="BG394" s="61"/>
      <c r="BH394" s="61"/>
      <c r="BI394" s="6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  <c r="BV394" s="61"/>
      <c r="BW394" s="61"/>
      <c r="BX394" s="61"/>
      <c r="BY394" s="61"/>
    </row>
    <row r="395" spans="1:77">
      <c r="A395" s="10"/>
      <c r="B395" s="10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AS395" s="61"/>
      <c r="AT395" s="61"/>
      <c r="AU395" s="61"/>
      <c r="AV395" s="61"/>
      <c r="AW395" s="61"/>
      <c r="AX395" s="61"/>
      <c r="AY395" s="61"/>
      <c r="AZ395" s="61"/>
      <c r="BA395" s="61"/>
      <c r="BB395" s="61"/>
      <c r="BC395" s="61"/>
      <c r="BD395" s="61"/>
      <c r="BE395" s="61"/>
      <c r="BF395" s="61"/>
      <c r="BG395" s="61"/>
      <c r="BH395" s="61"/>
      <c r="BI395" s="6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  <c r="BV395" s="61"/>
      <c r="BW395" s="61"/>
      <c r="BX395" s="61"/>
      <c r="BY395" s="61"/>
    </row>
    <row r="396" spans="1:77">
      <c r="A396" s="10"/>
      <c r="B396" s="10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61"/>
      <c r="BD396" s="61"/>
      <c r="BE396" s="61"/>
      <c r="BF396" s="61"/>
      <c r="BG396" s="61"/>
      <c r="BH396" s="61"/>
      <c r="BI396" s="6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  <c r="BV396" s="61"/>
      <c r="BW396" s="61"/>
      <c r="BX396" s="61"/>
      <c r="BY396" s="61"/>
    </row>
    <row r="397" spans="1:77">
      <c r="A397" s="10"/>
      <c r="B397" s="10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61"/>
      <c r="BD397" s="61"/>
      <c r="BE397" s="61"/>
      <c r="BF397" s="61"/>
      <c r="BG397" s="61"/>
      <c r="BH397" s="61"/>
      <c r="BI397" s="6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  <c r="BV397" s="61"/>
      <c r="BW397" s="61"/>
      <c r="BX397" s="61"/>
      <c r="BY397" s="61"/>
    </row>
    <row r="398" spans="1:77">
      <c r="A398" s="10"/>
      <c r="B398" s="10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61"/>
      <c r="BD398" s="61"/>
      <c r="BE398" s="61"/>
      <c r="BF398" s="61"/>
      <c r="BG398" s="61"/>
      <c r="BH398" s="61"/>
      <c r="BI398" s="6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  <c r="BV398" s="61"/>
      <c r="BW398" s="61"/>
      <c r="BX398" s="61"/>
      <c r="BY398" s="61"/>
    </row>
    <row r="399" spans="1:77">
      <c r="A399" s="10"/>
      <c r="B399" s="10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61"/>
      <c r="BD399" s="61"/>
      <c r="BE399" s="61"/>
      <c r="BF399" s="61"/>
      <c r="BG399" s="61"/>
      <c r="BH399" s="61"/>
      <c r="BI399" s="6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  <c r="BV399" s="61"/>
      <c r="BW399" s="61"/>
      <c r="BX399" s="61"/>
      <c r="BY399" s="61"/>
    </row>
    <row r="400" spans="1:77">
      <c r="A400" s="10"/>
      <c r="B400" s="10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61"/>
      <c r="BD400" s="61"/>
      <c r="BE400" s="61"/>
      <c r="BF400" s="61"/>
      <c r="BG400" s="61"/>
      <c r="BH400" s="61"/>
      <c r="BI400" s="6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  <c r="BV400" s="61"/>
      <c r="BW400" s="61"/>
      <c r="BX400" s="61"/>
      <c r="BY400" s="61"/>
    </row>
    <row r="401" spans="1:77">
      <c r="A401" s="10"/>
      <c r="B401" s="10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61"/>
      <c r="BD401" s="61"/>
      <c r="BE401" s="61"/>
      <c r="BF401" s="61"/>
      <c r="BG401" s="61"/>
      <c r="BH401" s="61"/>
      <c r="BI401" s="6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  <c r="BV401" s="61"/>
      <c r="BW401" s="61"/>
      <c r="BX401" s="61"/>
      <c r="BY401" s="61"/>
    </row>
    <row r="402" spans="1:77">
      <c r="A402" s="10"/>
      <c r="B402" s="10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61"/>
      <c r="BD402" s="61"/>
      <c r="BE402" s="61"/>
      <c r="BF402" s="61"/>
      <c r="BG402" s="61"/>
      <c r="BH402" s="61"/>
      <c r="BI402" s="6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  <c r="BV402" s="61"/>
      <c r="BW402" s="61"/>
      <c r="BX402" s="61"/>
      <c r="BY402" s="61"/>
    </row>
    <row r="403" spans="1:77">
      <c r="A403" s="10"/>
      <c r="B403" s="10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1"/>
      <c r="BD403" s="61"/>
      <c r="BE403" s="61"/>
      <c r="BF403" s="61"/>
      <c r="BG403" s="61"/>
      <c r="BH403" s="61"/>
      <c r="BI403" s="6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  <c r="BV403" s="61"/>
      <c r="BW403" s="61"/>
      <c r="BX403" s="61"/>
      <c r="BY403" s="61"/>
    </row>
    <row r="404" spans="1:77">
      <c r="A404" s="10"/>
      <c r="B404" s="10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1"/>
      <c r="BD404" s="61"/>
      <c r="BE404" s="61"/>
      <c r="BF404" s="61"/>
      <c r="BG404" s="61"/>
      <c r="BH404" s="61"/>
      <c r="BI404" s="6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  <c r="BV404" s="61"/>
      <c r="BW404" s="61"/>
      <c r="BX404" s="61"/>
      <c r="BY404" s="61"/>
    </row>
    <row r="405" spans="1:77">
      <c r="A405" s="10"/>
      <c r="B405" s="10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61"/>
      <c r="BD405" s="61"/>
      <c r="BE405" s="61"/>
      <c r="BF405" s="61"/>
      <c r="BG405" s="61"/>
      <c r="BH405" s="61"/>
      <c r="BI405" s="6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  <c r="BV405" s="61"/>
      <c r="BW405" s="61"/>
      <c r="BX405" s="61"/>
      <c r="BY405" s="61"/>
    </row>
    <row r="406" spans="1:77">
      <c r="A406" s="10"/>
      <c r="B406" s="10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61"/>
      <c r="BD406" s="61"/>
      <c r="BE406" s="61"/>
      <c r="BF406" s="61"/>
      <c r="BG406" s="61"/>
      <c r="BH406" s="61"/>
      <c r="BI406" s="6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  <c r="BV406" s="61"/>
      <c r="BW406" s="61"/>
      <c r="BX406" s="61"/>
      <c r="BY406" s="61"/>
    </row>
    <row r="407" spans="1:77">
      <c r="A407" s="10"/>
      <c r="B407" s="10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61"/>
      <c r="BD407" s="61"/>
      <c r="BE407" s="61"/>
      <c r="BF407" s="61"/>
      <c r="BG407" s="61"/>
      <c r="BH407" s="61"/>
      <c r="BI407" s="6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  <c r="BV407" s="61"/>
      <c r="BW407" s="61"/>
      <c r="BX407" s="61"/>
      <c r="BY407" s="61"/>
    </row>
    <row r="408" spans="1:77">
      <c r="A408" s="10"/>
      <c r="B408" s="10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61"/>
      <c r="BD408" s="61"/>
      <c r="BE408" s="61"/>
      <c r="BF408" s="61"/>
      <c r="BG408" s="61"/>
      <c r="BH408" s="61"/>
      <c r="BI408" s="6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  <c r="BV408" s="61"/>
      <c r="BW408" s="61"/>
      <c r="BX408" s="61"/>
      <c r="BY408" s="61"/>
    </row>
    <row r="409" spans="1:77">
      <c r="A409" s="10"/>
      <c r="B409" s="10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1"/>
      <c r="BD409" s="61"/>
      <c r="BE409" s="61"/>
      <c r="BF409" s="61"/>
      <c r="BG409" s="61"/>
      <c r="BH409" s="61"/>
      <c r="BI409" s="6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  <c r="BV409" s="61"/>
      <c r="BW409" s="61"/>
      <c r="BX409" s="61"/>
      <c r="BY409" s="61"/>
    </row>
    <row r="410" spans="1:77">
      <c r="A410" s="10"/>
      <c r="B410" s="10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AS410" s="61"/>
      <c r="AT410" s="61"/>
      <c r="AU410" s="61"/>
      <c r="AV410" s="61"/>
      <c r="AW410" s="61"/>
      <c r="AX410" s="61"/>
      <c r="AY410" s="61"/>
      <c r="AZ410" s="61"/>
      <c r="BA410" s="61"/>
      <c r="BB410" s="61"/>
      <c r="BC410" s="61"/>
      <c r="BD410" s="61"/>
      <c r="BE410" s="61"/>
      <c r="BF410" s="61"/>
      <c r="BG410" s="61"/>
      <c r="BH410" s="61"/>
      <c r="BI410" s="6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  <c r="BV410" s="61"/>
      <c r="BW410" s="61"/>
      <c r="BX410" s="61"/>
      <c r="BY410" s="61"/>
    </row>
    <row r="411" spans="1:77">
      <c r="A411" s="10"/>
      <c r="B411" s="10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61"/>
      <c r="BD411" s="61"/>
      <c r="BE411" s="61"/>
      <c r="BF411" s="61"/>
      <c r="BG411" s="61"/>
      <c r="BH411" s="61"/>
      <c r="BI411" s="6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  <c r="BV411" s="61"/>
      <c r="BW411" s="61"/>
      <c r="BX411" s="61"/>
      <c r="BY411" s="61"/>
    </row>
    <row r="412" spans="1:77">
      <c r="A412" s="10"/>
      <c r="B412" s="10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AS412" s="61"/>
      <c r="AT412" s="61"/>
      <c r="AU412" s="61"/>
      <c r="AV412" s="61"/>
      <c r="AW412" s="61"/>
      <c r="AX412" s="61"/>
      <c r="AY412" s="61"/>
      <c r="AZ412" s="61"/>
      <c r="BA412" s="61"/>
      <c r="BB412" s="61"/>
      <c r="BC412" s="61"/>
      <c r="BD412" s="61"/>
      <c r="BE412" s="61"/>
      <c r="BF412" s="61"/>
      <c r="BG412" s="61"/>
      <c r="BH412" s="61"/>
      <c r="BI412" s="6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  <c r="BV412" s="61"/>
      <c r="BW412" s="61"/>
      <c r="BX412" s="61"/>
      <c r="BY412" s="61"/>
    </row>
    <row r="413" spans="1:77">
      <c r="A413" s="10"/>
      <c r="B413" s="10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AS413" s="61"/>
      <c r="AT413" s="61"/>
      <c r="AU413" s="61"/>
      <c r="AV413" s="61"/>
      <c r="AW413" s="61"/>
      <c r="AX413" s="61"/>
      <c r="AY413" s="61"/>
      <c r="AZ413" s="61"/>
      <c r="BA413" s="61"/>
      <c r="BB413" s="61"/>
      <c r="BC413" s="61"/>
      <c r="BD413" s="61"/>
      <c r="BE413" s="61"/>
      <c r="BF413" s="61"/>
      <c r="BG413" s="61"/>
      <c r="BH413" s="61"/>
      <c r="BI413" s="6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  <c r="BV413" s="61"/>
      <c r="BW413" s="61"/>
      <c r="BX413" s="61"/>
      <c r="BY413" s="61"/>
    </row>
    <row r="414" spans="1:77">
      <c r="A414" s="10"/>
      <c r="B414" s="10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6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  <c r="BY414" s="61"/>
    </row>
    <row r="415" spans="1:77">
      <c r="A415" s="10"/>
      <c r="B415" s="10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AS415" s="61"/>
      <c r="AT415" s="61"/>
      <c r="AU415" s="61"/>
      <c r="AV415" s="61"/>
      <c r="AW415" s="61"/>
      <c r="AX415" s="61"/>
      <c r="AY415" s="61"/>
      <c r="AZ415" s="61"/>
      <c r="BA415" s="61"/>
      <c r="BB415" s="61"/>
      <c r="BC415" s="61"/>
      <c r="BD415" s="61"/>
      <c r="BE415" s="61"/>
      <c r="BF415" s="61"/>
      <c r="BG415" s="61"/>
      <c r="BH415" s="61"/>
      <c r="BI415" s="6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  <c r="BV415" s="61"/>
      <c r="BW415" s="61"/>
      <c r="BX415" s="61"/>
      <c r="BY415" s="61"/>
    </row>
    <row r="416" spans="1:77">
      <c r="A416" s="10"/>
      <c r="B416" s="10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AS416" s="61"/>
      <c r="AT416" s="61"/>
      <c r="AU416" s="61"/>
      <c r="AV416" s="61"/>
      <c r="AW416" s="61"/>
      <c r="AX416" s="61"/>
      <c r="AY416" s="61"/>
      <c r="AZ416" s="61"/>
      <c r="BA416" s="61"/>
      <c r="BB416" s="61"/>
      <c r="BC416" s="61"/>
      <c r="BD416" s="61"/>
      <c r="BE416" s="61"/>
      <c r="BF416" s="61"/>
      <c r="BG416" s="61"/>
      <c r="BH416" s="61"/>
      <c r="BI416" s="6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  <c r="BV416" s="61"/>
      <c r="BW416" s="61"/>
      <c r="BX416" s="61"/>
      <c r="BY416" s="61"/>
    </row>
    <row r="417" spans="1:77">
      <c r="A417" s="10"/>
      <c r="B417" s="10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AS417" s="61"/>
      <c r="AT417" s="61"/>
      <c r="AU417" s="61"/>
      <c r="AV417" s="61"/>
      <c r="AW417" s="61"/>
      <c r="AX417" s="61"/>
      <c r="AY417" s="61"/>
      <c r="AZ417" s="61"/>
      <c r="BA417" s="61"/>
      <c r="BB417" s="61"/>
      <c r="BC417" s="61"/>
      <c r="BD417" s="61"/>
      <c r="BE417" s="61"/>
      <c r="BF417" s="61"/>
      <c r="BG417" s="61"/>
      <c r="BH417" s="61"/>
      <c r="BI417" s="6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  <c r="BV417" s="61"/>
      <c r="BW417" s="61"/>
      <c r="BX417" s="61"/>
      <c r="BY417" s="61"/>
    </row>
    <row r="418" spans="1:77">
      <c r="A418" s="10"/>
      <c r="B418" s="1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AS418" s="61"/>
      <c r="AT418" s="61"/>
      <c r="AU418" s="61"/>
      <c r="AV418" s="61"/>
      <c r="AW418" s="61"/>
      <c r="AX418" s="61"/>
      <c r="AY418" s="61"/>
      <c r="AZ418" s="61"/>
      <c r="BA418" s="61"/>
      <c r="BB418" s="61"/>
      <c r="BC418" s="61"/>
      <c r="BD418" s="61"/>
      <c r="BE418" s="61"/>
      <c r="BF418" s="61"/>
      <c r="BG418" s="61"/>
      <c r="BH418" s="61"/>
      <c r="BI418" s="6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  <c r="BV418" s="61"/>
      <c r="BW418" s="61"/>
      <c r="BX418" s="61"/>
      <c r="BY418" s="61"/>
    </row>
    <row r="419" spans="1:77">
      <c r="A419" s="10"/>
      <c r="B419" s="10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AS419" s="61"/>
      <c r="AT419" s="61"/>
      <c r="AU419" s="61"/>
      <c r="AV419" s="61"/>
      <c r="AW419" s="61"/>
      <c r="AX419" s="61"/>
      <c r="AY419" s="61"/>
      <c r="AZ419" s="61"/>
      <c r="BA419" s="61"/>
      <c r="BB419" s="61"/>
      <c r="BC419" s="61"/>
      <c r="BD419" s="61"/>
      <c r="BE419" s="61"/>
      <c r="BF419" s="61"/>
      <c r="BG419" s="61"/>
      <c r="BH419" s="61"/>
      <c r="BI419" s="6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  <c r="BV419" s="61"/>
      <c r="BW419" s="61"/>
      <c r="BX419" s="61"/>
      <c r="BY419" s="61"/>
    </row>
    <row r="420" spans="1:77">
      <c r="A420" s="10"/>
      <c r="B420" s="10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AS420" s="61"/>
      <c r="AT420" s="61"/>
      <c r="AU420" s="61"/>
      <c r="AV420" s="61"/>
      <c r="AW420" s="61"/>
      <c r="AX420" s="61"/>
      <c r="AY420" s="61"/>
      <c r="AZ420" s="61"/>
      <c r="BA420" s="61"/>
      <c r="BB420" s="61"/>
      <c r="BC420" s="61"/>
      <c r="BD420" s="61"/>
      <c r="BE420" s="61"/>
      <c r="BF420" s="61"/>
      <c r="BG420" s="61"/>
      <c r="BH420" s="61"/>
      <c r="BI420" s="6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  <c r="BV420" s="61"/>
      <c r="BW420" s="61"/>
      <c r="BX420" s="61"/>
      <c r="BY420" s="61"/>
    </row>
    <row r="421" spans="1:77">
      <c r="A421" s="10"/>
      <c r="B421" s="10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AS421" s="61"/>
      <c r="AT421" s="61"/>
      <c r="AU421" s="61"/>
      <c r="AV421" s="61"/>
      <c r="AW421" s="61"/>
      <c r="AX421" s="61"/>
      <c r="AY421" s="61"/>
      <c r="AZ421" s="61"/>
      <c r="BA421" s="61"/>
      <c r="BB421" s="61"/>
      <c r="BC421" s="61"/>
      <c r="BD421" s="61"/>
      <c r="BE421" s="61"/>
      <c r="BF421" s="61"/>
      <c r="BG421" s="61"/>
      <c r="BH421" s="61"/>
      <c r="BI421" s="6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  <c r="BV421" s="61"/>
      <c r="BW421" s="61"/>
      <c r="BX421" s="61"/>
      <c r="BY421" s="61"/>
    </row>
    <row r="422" spans="1:77">
      <c r="A422" s="10"/>
      <c r="B422" s="10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AS422" s="61"/>
      <c r="AT422" s="61"/>
      <c r="AU422" s="61"/>
      <c r="AV422" s="61"/>
      <c r="AW422" s="61"/>
      <c r="AX422" s="61"/>
      <c r="AY422" s="61"/>
      <c r="AZ422" s="61"/>
      <c r="BA422" s="61"/>
      <c r="BB422" s="61"/>
      <c r="BC422" s="61"/>
      <c r="BD422" s="61"/>
      <c r="BE422" s="61"/>
      <c r="BF422" s="61"/>
      <c r="BG422" s="61"/>
      <c r="BH422" s="61"/>
      <c r="BI422" s="6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  <c r="BV422" s="61"/>
      <c r="BW422" s="61"/>
      <c r="BX422" s="61"/>
      <c r="BY422" s="61"/>
    </row>
    <row r="423" spans="1:77">
      <c r="A423" s="10"/>
      <c r="B423" s="10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AS423" s="61"/>
      <c r="AT423" s="61"/>
      <c r="AU423" s="61"/>
      <c r="AV423" s="61"/>
      <c r="AW423" s="61"/>
      <c r="AX423" s="61"/>
      <c r="AY423" s="61"/>
      <c r="AZ423" s="61"/>
      <c r="BA423" s="61"/>
      <c r="BB423" s="61"/>
      <c r="BC423" s="61"/>
      <c r="BD423" s="61"/>
      <c r="BE423" s="61"/>
      <c r="BF423" s="61"/>
      <c r="BG423" s="61"/>
      <c r="BH423" s="61"/>
      <c r="BI423" s="6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  <c r="BV423" s="61"/>
      <c r="BW423" s="61"/>
      <c r="BX423" s="61"/>
      <c r="BY423" s="61"/>
    </row>
    <row r="424" spans="1:77">
      <c r="A424" s="10"/>
      <c r="B424" s="10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AS424" s="61"/>
      <c r="AT424" s="61"/>
      <c r="AU424" s="61"/>
      <c r="AV424" s="61"/>
      <c r="AW424" s="61"/>
      <c r="AX424" s="61"/>
      <c r="AY424" s="61"/>
      <c r="AZ424" s="61"/>
      <c r="BA424" s="61"/>
      <c r="BB424" s="61"/>
      <c r="BC424" s="61"/>
      <c r="BD424" s="61"/>
      <c r="BE424" s="61"/>
      <c r="BF424" s="61"/>
      <c r="BG424" s="61"/>
      <c r="BH424" s="61"/>
      <c r="BI424" s="6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  <c r="BV424" s="61"/>
      <c r="BW424" s="61"/>
      <c r="BX424" s="61"/>
      <c r="BY424" s="61"/>
    </row>
    <row r="425" spans="1:77">
      <c r="A425" s="10"/>
      <c r="B425" s="10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AS425" s="61"/>
      <c r="AT425" s="61"/>
      <c r="AU425" s="61"/>
      <c r="AV425" s="61"/>
      <c r="AW425" s="61"/>
      <c r="AX425" s="61"/>
      <c r="AY425" s="61"/>
      <c r="AZ425" s="61"/>
      <c r="BA425" s="61"/>
      <c r="BB425" s="61"/>
      <c r="BC425" s="61"/>
      <c r="BD425" s="61"/>
      <c r="BE425" s="61"/>
      <c r="BF425" s="61"/>
      <c r="BG425" s="61"/>
      <c r="BH425" s="61"/>
      <c r="BI425" s="6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  <c r="BV425" s="61"/>
      <c r="BW425" s="61"/>
      <c r="BX425" s="61"/>
      <c r="BY425" s="61"/>
    </row>
    <row r="426" spans="1:77">
      <c r="A426" s="10"/>
      <c r="B426" s="10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AS426" s="61"/>
      <c r="AT426" s="61"/>
      <c r="AU426" s="61"/>
      <c r="AV426" s="61"/>
      <c r="AW426" s="61"/>
      <c r="AX426" s="61"/>
      <c r="AY426" s="61"/>
      <c r="AZ426" s="61"/>
      <c r="BA426" s="61"/>
      <c r="BB426" s="61"/>
      <c r="BC426" s="61"/>
      <c r="BD426" s="61"/>
      <c r="BE426" s="61"/>
      <c r="BF426" s="61"/>
      <c r="BG426" s="61"/>
      <c r="BH426" s="61"/>
      <c r="BI426" s="6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  <c r="BV426" s="61"/>
      <c r="BW426" s="61"/>
      <c r="BX426" s="61"/>
      <c r="BY426" s="61"/>
    </row>
    <row r="427" spans="1:77">
      <c r="A427" s="10"/>
      <c r="B427" s="10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AS427" s="61"/>
      <c r="AT427" s="61"/>
      <c r="AU427" s="61"/>
      <c r="AV427" s="61"/>
      <c r="AW427" s="61"/>
      <c r="AX427" s="61"/>
      <c r="AY427" s="61"/>
      <c r="AZ427" s="61"/>
      <c r="BA427" s="61"/>
      <c r="BB427" s="61"/>
      <c r="BC427" s="61"/>
      <c r="BD427" s="61"/>
      <c r="BE427" s="61"/>
      <c r="BF427" s="61"/>
      <c r="BG427" s="61"/>
      <c r="BH427" s="61"/>
      <c r="BI427" s="6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  <c r="BV427" s="61"/>
      <c r="BW427" s="61"/>
      <c r="BX427" s="61"/>
      <c r="BY427" s="61"/>
    </row>
    <row r="428" spans="1:77">
      <c r="A428" s="10"/>
      <c r="B428" s="10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AS428" s="61"/>
      <c r="AT428" s="61"/>
      <c r="AU428" s="61"/>
      <c r="AV428" s="61"/>
      <c r="AW428" s="61"/>
      <c r="AX428" s="61"/>
      <c r="AY428" s="61"/>
      <c r="AZ428" s="61"/>
      <c r="BA428" s="61"/>
      <c r="BB428" s="61"/>
      <c r="BC428" s="61"/>
      <c r="BD428" s="61"/>
      <c r="BE428" s="61"/>
      <c r="BF428" s="61"/>
      <c r="BG428" s="61"/>
      <c r="BH428" s="61"/>
      <c r="BI428" s="6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  <c r="BV428" s="61"/>
      <c r="BW428" s="61"/>
      <c r="BX428" s="61"/>
      <c r="BY428" s="61"/>
    </row>
    <row r="429" spans="1:77">
      <c r="A429" s="10"/>
      <c r="B429" s="10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AS429" s="61"/>
      <c r="AT429" s="61"/>
      <c r="AU429" s="61"/>
      <c r="AV429" s="61"/>
      <c r="AW429" s="61"/>
      <c r="AX429" s="61"/>
      <c r="AY429" s="61"/>
      <c r="AZ429" s="61"/>
      <c r="BA429" s="61"/>
      <c r="BB429" s="61"/>
      <c r="BC429" s="61"/>
      <c r="BD429" s="61"/>
      <c r="BE429" s="61"/>
      <c r="BF429" s="61"/>
      <c r="BG429" s="61"/>
      <c r="BH429" s="61"/>
      <c r="BI429" s="6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  <c r="BV429" s="61"/>
      <c r="BW429" s="61"/>
      <c r="BX429" s="61"/>
      <c r="BY429" s="61"/>
    </row>
    <row r="430" spans="1:77">
      <c r="A430" s="10"/>
      <c r="B430" s="10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AS430" s="61"/>
      <c r="AT430" s="61"/>
      <c r="AU430" s="61"/>
      <c r="AV430" s="61"/>
      <c r="AW430" s="61"/>
      <c r="AX430" s="61"/>
      <c r="AY430" s="61"/>
      <c r="AZ430" s="61"/>
      <c r="BA430" s="61"/>
      <c r="BB430" s="61"/>
      <c r="BC430" s="61"/>
      <c r="BD430" s="61"/>
      <c r="BE430" s="61"/>
      <c r="BF430" s="61"/>
      <c r="BG430" s="61"/>
      <c r="BH430" s="61"/>
      <c r="BI430" s="6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  <c r="BV430" s="61"/>
      <c r="BW430" s="61"/>
      <c r="BX430" s="61"/>
      <c r="BY430" s="61"/>
    </row>
    <row r="431" spans="1:77">
      <c r="A431" s="10"/>
      <c r="B431" s="10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AS431" s="61"/>
      <c r="AT431" s="61"/>
      <c r="AU431" s="61"/>
      <c r="AV431" s="61"/>
      <c r="AW431" s="61"/>
      <c r="AX431" s="61"/>
      <c r="AY431" s="61"/>
      <c r="AZ431" s="61"/>
      <c r="BA431" s="61"/>
      <c r="BB431" s="61"/>
      <c r="BC431" s="61"/>
      <c r="BD431" s="61"/>
      <c r="BE431" s="61"/>
      <c r="BF431" s="61"/>
      <c r="BG431" s="61"/>
      <c r="BH431" s="61"/>
      <c r="BI431" s="6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  <c r="BV431" s="61"/>
      <c r="BW431" s="61"/>
      <c r="BX431" s="61"/>
      <c r="BY431" s="61"/>
    </row>
    <row r="432" spans="1:77">
      <c r="A432" s="10"/>
      <c r="B432" s="10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AS432" s="61"/>
      <c r="AT432" s="61"/>
      <c r="AU432" s="61"/>
      <c r="AV432" s="61"/>
      <c r="AW432" s="61"/>
      <c r="AX432" s="61"/>
      <c r="AY432" s="61"/>
      <c r="AZ432" s="61"/>
      <c r="BA432" s="61"/>
      <c r="BB432" s="61"/>
      <c r="BC432" s="61"/>
      <c r="BD432" s="61"/>
      <c r="BE432" s="61"/>
      <c r="BF432" s="61"/>
      <c r="BG432" s="61"/>
      <c r="BH432" s="61"/>
      <c r="BI432" s="6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  <c r="BV432" s="61"/>
      <c r="BW432" s="61"/>
      <c r="BX432" s="61"/>
      <c r="BY432" s="61"/>
    </row>
    <row r="433" spans="1:77">
      <c r="A433" s="10"/>
      <c r="B433" s="10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AS433" s="61"/>
      <c r="AT433" s="61"/>
      <c r="AU433" s="61"/>
      <c r="AV433" s="61"/>
      <c r="AW433" s="61"/>
      <c r="AX433" s="61"/>
      <c r="AY433" s="61"/>
      <c r="AZ433" s="61"/>
      <c r="BA433" s="61"/>
      <c r="BB433" s="61"/>
      <c r="BC433" s="61"/>
      <c r="BD433" s="61"/>
      <c r="BE433" s="61"/>
      <c r="BF433" s="61"/>
      <c r="BG433" s="61"/>
      <c r="BH433" s="61"/>
      <c r="BI433" s="6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  <c r="BV433" s="61"/>
      <c r="BW433" s="61"/>
      <c r="BX433" s="61"/>
      <c r="BY433" s="61"/>
    </row>
    <row r="434" spans="1:77">
      <c r="A434" s="10"/>
      <c r="B434" s="10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AS434" s="61"/>
      <c r="AT434" s="61"/>
      <c r="AU434" s="61"/>
      <c r="AV434" s="61"/>
      <c r="AW434" s="61"/>
      <c r="AX434" s="61"/>
      <c r="AY434" s="61"/>
      <c r="AZ434" s="61"/>
      <c r="BA434" s="61"/>
      <c r="BB434" s="61"/>
      <c r="BC434" s="61"/>
      <c r="BD434" s="61"/>
      <c r="BE434" s="61"/>
      <c r="BF434" s="61"/>
      <c r="BG434" s="61"/>
      <c r="BH434" s="61"/>
      <c r="BI434" s="6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  <c r="BV434" s="61"/>
      <c r="BW434" s="61"/>
      <c r="BX434" s="61"/>
      <c r="BY434" s="61"/>
    </row>
    <row r="435" spans="1:77">
      <c r="A435" s="10"/>
      <c r="B435" s="10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AS435" s="61"/>
      <c r="AT435" s="61"/>
      <c r="AU435" s="61"/>
      <c r="AV435" s="61"/>
      <c r="AW435" s="61"/>
      <c r="AX435" s="61"/>
      <c r="AY435" s="61"/>
      <c r="AZ435" s="61"/>
      <c r="BA435" s="61"/>
      <c r="BB435" s="61"/>
      <c r="BC435" s="61"/>
      <c r="BD435" s="61"/>
      <c r="BE435" s="61"/>
      <c r="BF435" s="61"/>
      <c r="BG435" s="61"/>
      <c r="BH435" s="61"/>
      <c r="BI435" s="6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  <c r="BV435" s="61"/>
      <c r="BW435" s="61"/>
      <c r="BX435" s="61"/>
      <c r="BY435" s="61"/>
    </row>
    <row r="436" spans="1:77">
      <c r="A436" s="10"/>
      <c r="B436" s="10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AS436" s="61"/>
      <c r="AT436" s="61"/>
      <c r="AU436" s="61"/>
      <c r="AV436" s="61"/>
      <c r="AW436" s="61"/>
      <c r="AX436" s="61"/>
      <c r="AY436" s="61"/>
      <c r="AZ436" s="61"/>
      <c r="BA436" s="61"/>
      <c r="BB436" s="61"/>
      <c r="BC436" s="61"/>
      <c r="BD436" s="61"/>
      <c r="BE436" s="61"/>
      <c r="BF436" s="61"/>
      <c r="BG436" s="61"/>
      <c r="BH436" s="61"/>
      <c r="BI436" s="6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  <c r="BV436" s="61"/>
      <c r="BW436" s="61"/>
      <c r="BX436" s="61"/>
      <c r="BY436" s="61"/>
    </row>
    <row r="437" spans="1:77">
      <c r="A437" s="10"/>
      <c r="B437" s="10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AS437" s="61"/>
      <c r="AT437" s="61"/>
      <c r="AU437" s="61"/>
      <c r="AV437" s="61"/>
      <c r="AW437" s="61"/>
      <c r="AX437" s="61"/>
      <c r="AY437" s="61"/>
      <c r="AZ437" s="61"/>
      <c r="BA437" s="61"/>
      <c r="BB437" s="61"/>
      <c r="BC437" s="61"/>
      <c r="BD437" s="61"/>
      <c r="BE437" s="61"/>
      <c r="BF437" s="61"/>
      <c r="BG437" s="61"/>
      <c r="BH437" s="61"/>
      <c r="BI437" s="6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  <c r="BV437" s="61"/>
      <c r="BW437" s="61"/>
      <c r="BX437" s="61"/>
      <c r="BY437" s="61"/>
    </row>
    <row r="438" spans="1:77">
      <c r="A438" s="10"/>
      <c r="B438" s="10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AS438" s="61"/>
      <c r="AT438" s="61"/>
      <c r="AU438" s="61"/>
      <c r="AV438" s="61"/>
      <c r="AW438" s="61"/>
      <c r="AX438" s="61"/>
      <c r="AY438" s="61"/>
      <c r="AZ438" s="61"/>
      <c r="BA438" s="61"/>
      <c r="BB438" s="61"/>
      <c r="BC438" s="61"/>
      <c r="BD438" s="61"/>
      <c r="BE438" s="61"/>
      <c r="BF438" s="61"/>
      <c r="BG438" s="61"/>
      <c r="BH438" s="61"/>
      <c r="BI438" s="6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  <c r="BV438" s="61"/>
      <c r="BW438" s="61"/>
      <c r="BX438" s="61"/>
      <c r="BY438" s="61"/>
    </row>
    <row r="439" spans="1:77">
      <c r="A439" s="10"/>
      <c r="B439" s="10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AS439" s="61"/>
      <c r="AT439" s="61"/>
      <c r="AU439" s="61"/>
      <c r="AV439" s="61"/>
      <c r="AW439" s="61"/>
      <c r="AX439" s="61"/>
      <c r="AY439" s="61"/>
      <c r="AZ439" s="61"/>
      <c r="BA439" s="61"/>
      <c r="BB439" s="61"/>
      <c r="BC439" s="61"/>
      <c r="BD439" s="61"/>
      <c r="BE439" s="61"/>
      <c r="BF439" s="61"/>
      <c r="BG439" s="61"/>
      <c r="BH439" s="61"/>
      <c r="BI439" s="6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  <c r="BV439" s="61"/>
      <c r="BW439" s="61"/>
      <c r="BX439" s="61"/>
      <c r="BY439" s="61"/>
    </row>
    <row r="440" spans="1:77">
      <c r="A440" s="10"/>
      <c r="B440" s="10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AS440" s="61"/>
      <c r="AT440" s="61"/>
      <c r="AU440" s="61"/>
      <c r="AV440" s="61"/>
      <c r="AW440" s="61"/>
      <c r="AX440" s="61"/>
      <c r="AY440" s="61"/>
      <c r="AZ440" s="61"/>
      <c r="BA440" s="61"/>
      <c r="BB440" s="61"/>
      <c r="BC440" s="61"/>
      <c r="BD440" s="61"/>
      <c r="BE440" s="61"/>
      <c r="BF440" s="61"/>
      <c r="BG440" s="61"/>
      <c r="BH440" s="61"/>
      <c r="BI440" s="6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  <c r="BV440" s="61"/>
      <c r="BW440" s="61"/>
      <c r="BX440" s="61"/>
      <c r="BY440" s="61"/>
    </row>
    <row r="441" spans="1:77">
      <c r="A441" s="10"/>
      <c r="B441" s="10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AS441" s="61"/>
      <c r="AT441" s="61"/>
      <c r="AU441" s="61"/>
      <c r="AV441" s="61"/>
      <c r="AW441" s="61"/>
      <c r="AX441" s="61"/>
      <c r="AY441" s="61"/>
      <c r="AZ441" s="61"/>
      <c r="BA441" s="61"/>
      <c r="BB441" s="61"/>
      <c r="BC441" s="61"/>
      <c r="BD441" s="61"/>
      <c r="BE441" s="61"/>
      <c r="BF441" s="61"/>
      <c r="BG441" s="61"/>
      <c r="BH441" s="61"/>
      <c r="BI441" s="6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  <c r="BV441" s="61"/>
      <c r="BW441" s="61"/>
      <c r="BX441" s="61"/>
      <c r="BY441" s="61"/>
    </row>
    <row r="442" spans="1:77">
      <c r="A442" s="10"/>
      <c r="B442" s="10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AS442" s="61"/>
      <c r="AT442" s="61"/>
      <c r="AU442" s="61"/>
      <c r="AV442" s="61"/>
      <c r="AW442" s="61"/>
      <c r="AX442" s="61"/>
      <c r="AY442" s="61"/>
      <c r="AZ442" s="61"/>
      <c r="BA442" s="61"/>
      <c r="BB442" s="61"/>
      <c r="BC442" s="61"/>
      <c r="BD442" s="61"/>
      <c r="BE442" s="61"/>
      <c r="BF442" s="61"/>
      <c r="BG442" s="61"/>
      <c r="BH442" s="61"/>
      <c r="BI442" s="6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  <c r="BV442" s="61"/>
      <c r="BW442" s="61"/>
      <c r="BX442" s="61"/>
      <c r="BY442" s="61"/>
    </row>
    <row r="443" spans="1:77">
      <c r="A443" s="10"/>
      <c r="B443" s="10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AS443" s="61"/>
      <c r="AT443" s="61"/>
      <c r="AU443" s="61"/>
      <c r="AV443" s="61"/>
      <c r="AW443" s="61"/>
      <c r="AX443" s="61"/>
      <c r="AY443" s="61"/>
      <c r="AZ443" s="61"/>
      <c r="BA443" s="61"/>
      <c r="BB443" s="61"/>
      <c r="BC443" s="61"/>
      <c r="BD443" s="61"/>
      <c r="BE443" s="61"/>
      <c r="BF443" s="61"/>
      <c r="BG443" s="61"/>
      <c r="BH443" s="61"/>
      <c r="BI443" s="6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  <c r="BV443" s="61"/>
      <c r="BW443" s="61"/>
      <c r="BX443" s="61"/>
      <c r="BY443" s="61"/>
    </row>
    <row r="444" spans="1:77">
      <c r="A444" s="10"/>
      <c r="B444" s="10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AS444" s="61"/>
      <c r="AT444" s="61"/>
      <c r="AU444" s="61"/>
      <c r="AV444" s="61"/>
      <c r="AW444" s="61"/>
      <c r="AX444" s="61"/>
      <c r="AY444" s="61"/>
      <c r="AZ444" s="61"/>
      <c r="BA444" s="61"/>
      <c r="BB444" s="61"/>
      <c r="BC444" s="61"/>
      <c r="BD444" s="61"/>
      <c r="BE444" s="61"/>
      <c r="BF444" s="61"/>
      <c r="BG444" s="61"/>
      <c r="BH444" s="61"/>
      <c r="BI444" s="6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  <c r="BV444" s="61"/>
      <c r="BW444" s="61"/>
      <c r="BX444" s="61"/>
      <c r="BY444" s="61"/>
    </row>
    <row r="445" spans="1:77">
      <c r="A445" s="10"/>
      <c r="B445" s="10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AS445" s="61"/>
      <c r="AT445" s="61"/>
      <c r="AU445" s="61"/>
      <c r="AV445" s="61"/>
      <c r="AW445" s="61"/>
      <c r="AX445" s="61"/>
      <c r="AY445" s="61"/>
      <c r="AZ445" s="61"/>
      <c r="BA445" s="61"/>
      <c r="BB445" s="61"/>
      <c r="BC445" s="61"/>
      <c r="BD445" s="61"/>
      <c r="BE445" s="61"/>
      <c r="BF445" s="61"/>
      <c r="BG445" s="61"/>
      <c r="BH445" s="61"/>
      <c r="BI445" s="6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  <c r="BV445" s="61"/>
      <c r="BW445" s="61"/>
      <c r="BX445" s="61"/>
      <c r="BY445" s="61"/>
    </row>
    <row r="446" spans="1:77">
      <c r="A446" s="10"/>
      <c r="B446" s="10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AS446" s="61"/>
      <c r="AT446" s="61"/>
      <c r="AU446" s="61"/>
      <c r="AV446" s="61"/>
      <c r="AW446" s="61"/>
      <c r="AX446" s="61"/>
      <c r="AY446" s="61"/>
      <c r="AZ446" s="61"/>
      <c r="BA446" s="61"/>
      <c r="BB446" s="61"/>
      <c r="BC446" s="61"/>
      <c r="BD446" s="61"/>
      <c r="BE446" s="61"/>
      <c r="BF446" s="61"/>
      <c r="BG446" s="61"/>
      <c r="BH446" s="61"/>
      <c r="BI446" s="6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  <c r="BV446" s="61"/>
      <c r="BW446" s="61"/>
      <c r="BX446" s="61"/>
      <c r="BY446" s="61"/>
    </row>
    <row r="447" spans="1:77">
      <c r="A447" s="10"/>
      <c r="B447" s="10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AS447" s="61"/>
      <c r="AT447" s="61"/>
      <c r="AU447" s="61"/>
      <c r="AV447" s="61"/>
      <c r="AW447" s="61"/>
      <c r="AX447" s="61"/>
      <c r="AY447" s="61"/>
      <c r="AZ447" s="61"/>
      <c r="BA447" s="61"/>
      <c r="BB447" s="61"/>
      <c r="BC447" s="61"/>
      <c r="BD447" s="61"/>
      <c r="BE447" s="61"/>
      <c r="BF447" s="61"/>
      <c r="BG447" s="61"/>
      <c r="BH447" s="61"/>
      <c r="BI447" s="6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  <c r="BV447" s="61"/>
      <c r="BW447" s="61"/>
      <c r="BX447" s="61"/>
      <c r="BY447" s="61"/>
    </row>
    <row r="448" spans="1:77">
      <c r="A448" s="10"/>
      <c r="B448" s="10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AS448" s="61"/>
      <c r="AT448" s="61"/>
      <c r="AU448" s="61"/>
      <c r="AV448" s="61"/>
      <c r="AW448" s="61"/>
      <c r="AX448" s="61"/>
      <c r="AY448" s="61"/>
      <c r="AZ448" s="61"/>
      <c r="BA448" s="61"/>
      <c r="BB448" s="61"/>
      <c r="BC448" s="61"/>
      <c r="BD448" s="61"/>
      <c r="BE448" s="61"/>
      <c r="BF448" s="61"/>
      <c r="BG448" s="61"/>
      <c r="BH448" s="61"/>
      <c r="BI448" s="6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  <c r="BV448" s="61"/>
      <c r="BW448" s="61"/>
      <c r="BX448" s="61"/>
      <c r="BY448" s="61"/>
    </row>
    <row r="449" spans="1:77">
      <c r="A449" s="10"/>
      <c r="B449" s="10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AS449" s="61"/>
      <c r="AT449" s="61"/>
      <c r="AU449" s="61"/>
      <c r="AV449" s="61"/>
      <c r="AW449" s="61"/>
      <c r="AX449" s="61"/>
      <c r="AY449" s="61"/>
      <c r="AZ449" s="61"/>
      <c r="BA449" s="61"/>
      <c r="BB449" s="61"/>
      <c r="BC449" s="61"/>
      <c r="BD449" s="61"/>
      <c r="BE449" s="61"/>
      <c r="BF449" s="61"/>
      <c r="BG449" s="61"/>
      <c r="BH449" s="61"/>
      <c r="BI449" s="6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  <c r="BV449" s="61"/>
      <c r="BW449" s="61"/>
      <c r="BX449" s="61"/>
      <c r="BY449" s="61"/>
    </row>
    <row r="450" spans="1:77">
      <c r="A450" s="10"/>
      <c r="B450" s="10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AS450" s="61"/>
      <c r="AT450" s="61"/>
      <c r="AU450" s="61"/>
      <c r="AV450" s="61"/>
      <c r="AW450" s="61"/>
      <c r="AX450" s="61"/>
      <c r="AY450" s="61"/>
      <c r="AZ450" s="61"/>
      <c r="BA450" s="61"/>
      <c r="BB450" s="61"/>
      <c r="BC450" s="61"/>
      <c r="BD450" s="61"/>
      <c r="BE450" s="61"/>
      <c r="BF450" s="61"/>
      <c r="BG450" s="61"/>
      <c r="BH450" s="61"/>
      <c r="BI450" s="6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  <c r="BV450" s="61"/>
      <c r="BW450" s="61"/>
      <c r="BX450" s="61"/>
      <c r="BY450" s="61"/>
    </row>
    <row r="451" spans="1:77">
      <c r="A451" s="10"/>
      <c r="B451" s="10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AS451" s="61"/>
      <c r="AT451" s="61"/>
      <c r="AU451" s="61"/>
      <c r="AV451" s="61"/>
      <c r="AW451" s="61"/>
      <c r="AX451" s="61"/>
      <c r="AY451" s="61"/>
      <c r="AZ451" s="61"/>
      <c r="BA451" s="61"/>
      <c r="BB451" s="61"/>
      <c r="BC451" s="61"/>
      <c r="BD451" s="61"/>
      <c r="BE451" s="61"/>
      <c r="BF451" s="61"/>
      <c r="BG451" s="61"/>
      <c r="BH451" s="61"/>
      <c r="BI451" s="6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  <c r="BV451" s="61"/>
      <c r="BW451" s="61"/>
      <c r="BX451" s="61"/>
      <c r="BY451" s="61"/>
    </row>
    <row r="452" spans="1:77">
      <c r="A452" s="10"/>
      <c r="B452" s="10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AS452" s="61"/>
      <c r="AT452" s="61"/>
      <c r="AU452" s="61"/>
      <c r="AV452" s="61"/>
      <c r="AW452" s="61"/>
      <c r="AX452" s="61"/>
      <c r="AY452" s="61"/>
      <c r="AZ452" s="61"/>
      <c r="BA452" s="61"/>
      <c r="BB452" s="61"/>
      <c r="BC452" s="61"/>
      <c r="BD452" s="61"/>
      <c r="BE452" s="61"/>
      <c r="BF452" s="61"/>
      <c r="BG452" s="61"/>
      <c r="BH452" s="61"/>
      <c r="BI452" s="6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  <c r="BV452" s="61"/>
      <c r="BW452" s="61"/>
      <c r="BX452" s="61"/>
      <c r="BY452" s="61"/>
    </row>
    <row r="453" spans="1:77">
      <c r="A453" s="10"/>
      <c r="B453" s="10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AS453" s="61"/>
      <c r="AT453" s="61"/>
      <c r="AU453" s="61"/>
      <c r="AV453" s="61"/>
      <c r="AW453" s="61"/>
      <c r="AX453" s="61"/>
      <c r="AY453" s="61"/>
      <c r="AZ453" s="61"/>
      <c r="BA453" s="61"/>
      <c r="BB453" s="61"/>
      <c r="BC453" s="61"/>
      <c r="BD453" s="61"/>
      <c r="BE453" s="61"/>
      <c r="BF453" s="61"/>
      <c r="BG453" s="61"/>
      <c r="BH453" s="61"/>
      <c r="BI453" s="6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  <c r="BV453" s="61"/>
      <c r="BW453" s="61"/>
      <c r="BX453" s="61"/>
      <c r="BY453" s="61"/>
    </row>
    <row r="454" spans="1:77">
      <c r="A454" s="10"/>
      <c r="B454" s="10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AS454" s="61"/>
      <c r="AT454" s="61"/>
      <c r="AU454" s="61"/>
      <c r="AV454" s="61"/>
      <c r="AW454" s="61"/>
      <c r="AX454" s="61"/>
      <c r="AY454" s="61"/>
      <c r="AZ454" s="61"/>
      <c r="BA454" s="61"/>
      <c r="BB454" s="61"/>
      <c r="BC454" s="61"/>
      <c r="BD454" s="61"/>
      <c r="BE454" s="61"/>
      <c r="BF454" s="61"/>
      <c r="BG454" s="61"/>
      <c r="BH454" s="61"/>
      <c r="BI454" s="6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  <c r="BV454" s="61"/>
      <c r="BW454" s="61"/>
      <c r="BX454" s="61"/>
      <c r="BY454" s="61"/>
    </row>
    <row r="455" spans="1:77">
      <c r="A455" s="10"/>
      <c r="B455" s="10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AS455" s="61"/>
      <c r="AT455" s="61"/>
      <c r="AU455" s="61"/>
      <c r="AV455" s="61"/>
      <c r="AW455" s="61"/>
      <c r="AX455" s="61"/>
      <c r="AY455" s="61"/>
      <c r="AZ455" s="61"/>
      <c r="BA455" s="61"/>
      <c r="BB455" s="61"/>
      <c r="BC455" s="61"/>
      <c r="BD455" s="61"/>
      <c r="BE455" s="61"/>
      <c r="BF455" s="61"/>
      <c r="BG455" s="61"/>
      <c r="BH455" s="61"/>
      <c r="BI455" s="6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  <c r="BV455" s="61"/>
      <c r="BW455" s="61"/>
      <c r="BX455" s="61"/>
      <c r="BY455" s="61"/>
    </row>
    <row r="456" spans="1:77">
      <c r="A456" s="10"/>
      <c r="B456" s="1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AS456" s="61"/>
      <c r="AT456" s="61"/>
      <c r="AU456" s="61"/>
      <c r="AV456" s="61"/>
      <c r="AW456" s="61"/>
      <c r="AX456" s="61"/>
      <c r="AY456" s="61"/>
      <c r="AZ456" s="61"/>
      <c r="BA456" s="61"/>
      <c r="BB456" s="61"/>
      <c r="BC456" s="61"/>
      <c r="BD456" s="61"/>
      <c r="BE456" s="61"/>
      <c r="BF456" s="61"/>
      <c r="BG456" s="61"/>
      <c r="BH456" s="61"/>
      <c r="BI456" s="6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  <c r="BV456" s="61"/>
      <c r="BW456" s="61"/>
      <c r="BX456" s="61"/>
      <c r="BY456" s="61"/>
    </row>
    <row r="457" spans="1:77">
      <c r="A457" s="10"/>
      <c r="B457" s="10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AS457" s="61"/>
      <c r="AT457" s="61"/>
      <c r="AU457" s="61"/>
      <c r="AV457" s="61"/>
      <c r="AW457" s="61"/>
      <c r="AX457" s="61"/>
      <c r="AY457" s="61"/>
      <c r="AZ457" s="61"/>
      <c r="BA457" s="61"/>
      <c r="BB457" s="61"/>
      <c r="BC457" s="61"/>
      <c r="BD457" s="61"/>
      <c r="BE457" s="61"/>
      <c r="BF457" s="61"/>
      <c r="BG457" s="61"/>
      <c r="BH457" s="61"/>
      <c r="BI457" s="6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  <c r="BV457" s="61"/>
      <c r="BW457" s="61"/>
      <c r="BX457" s="61"/>
      <c r="BY457" s="61"/>
    </row>
    <row r="458" spans="1:77">
      <c r="A458" s="10"/>
      <c r="B458" s="10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AS458" s="61"/>
      <c r="AT458" s="61"/>
      <c r="AU458" s="61"/>
      <c r="AV458" s="61"/>
      <c r="AW458" s="61"/>
      <c r="AX458" s="61"/>
      <c r="AY458" s="61"/>
      <c r="AZ458" s="61"/>
      <c r="BA458" s="61"/>
      <c r="BB458" s="61"/>
      <c r="BC458" s="61"/>
      <c r="BD458" s="61"/>
      <c r="BE458" s="61"/>
      <c r="BF458" s="61"/>
      <c r="BG458" s="61"/>
      <c r="BH458" s="61"/>
      <c r="BI458" s="6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  <c r="BV458" s="61"/>
      <c r="BW458" s="61"/>
      <c r="BX458" s="61"/>
      <c r="BY458" s="61"/>
    </row>
    <row r="459" spans="1:77">
      <c r="A459" s="10"/>
      <c r="B459" s="10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 s="61"/>
      <c r="BH459" s="61"/>
      <c r="BI459" s="6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  <c r="BV459" s="61"/>
      <c r="BW459" s="61"/>
      <c r="BX459" s="61"/>
      <c r="BY459" s="61"/>
    </row>
    <row r="460" spans="1:77">
      <c r="A460" s="10"/>
      <c r="B460" s="10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AS460" s="61"/>
      <c r="AT460" s="61"/>
      <c r="AU460" s="61"/>
      <c r="AV460" s="61"/>
      <c r="AW460" s="61"/>
      <c r="AX460" s="61"/>
      <c r="AY460" s="61"/>
      <c r="AZ460" s="61"/>
      <c r="BA460" s="61"/>
      <c r="BB460" s="61"/>
      <c r="BC460" s="61"/>
      <c r="BD460" s="61"/>
      <c r="BE460" s="61"/>
      <c r="BF460" s="61"/>
      <c r="BG460" s="61"/>
      <c r="BH460" s="61"/>
      <c r="BI460" s="6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  <c r="BV460" s="61"/>
      <c r="BW460" s="61"/>
      <c r="BX460" s="61"/>
      <c r="BY460" s="61"/>
    </row>
    <row r="461" spans="1:77">
      <c r="A461" s="10"/>
      <c r="B461" s="10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AS461" s="61"/>
      <c r="AT461" s="61"/>
      <c r="AU461" s="61"/>
      <c r="AV461" s="61"/>
      <c r="AW461" s="61"/>
      <c r="AX461" s="61"/>
      <c r="AY461" s="61"/>
      <c r="AZ461" s="61"/>
      <c r="BA461" s="61"/>
      <c r="BB461" s="61"/>
      <c r="BC461" s="61"/>
      <c r="BD461" s="61"/>
      <c r="BE461" s="61"/>
      <c r="BF461" s="61"/>
      <c r="BG461" s="61"/>
      <c r="BH461" s="61"/>
      <c r="BI461" s="6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  <c r="BV461" s="61"/>
      <c r="BW461" s="61"/>
      <c r="BX461" s="61"/>
      <c r="BY461" s="61"/>
    </row>
    <row r="462" spans="1:77">
      <c r="A462" s="10"/>
      <c r="B462" s="10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AS462" s="61"/>
      <c r="AT462" s="61"/>
      <c r="AU462" s="61"/>
      <c r="AV462" s="61"/>
      <c r="AW462" s="61"/>
      <c r="AX462" s="61"/>
      <c r="AY462" s="61"/>
      <c r="AZ462" s="61"/>
      <c r="BA462" s="61"/>
      <c r="BB462" s="61"/>
      <c r="BC462" s="61"/>
      <c r="BD462" s="61"/>
      <c r="BE462" s="61"/>
      <c r="BF462" s="61"/>
      <c r="BG462" s="61"/>
      <c r="BH462" s="61"/>
      <c r="BI462" s="6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  <c r="BV462" s="61"/>
      <c r="BW462" s="61"/>
      <c r="BX462" s="61"/>
      <c r="BY462" s="61"/>
    </row>
    <row r="463" spans="1:77">
      <c r="A463" s="10"/>
      <c r="B463" s="10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AS463" s="61"/>
      <c r="AT463" s="61"/>
      <c r="AU463" s="61"/>
      <c r="AV463" s="61"/>
      <c r="AW463" s="61"/>
      <c r="AX463" s="61"/>
      <c r="AY463" s="61"/>
      <c r="AZ463" s="61"/>
      <c r="BA463" s="61"/>
      <c r="BB463" s="61"/>
      <c r="BC463" s="61"/>
      <c r="BD463" s="61"/>
      <c r="BE463" s="61"/>
      <c r="BF463" s="61"/>
      <c r="BG463" s="61"/>
      <c r="BH463" s="61"/>
      <c r="BI463" s="6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  <c r="BV463" s="61"/>
      <c r="BW463" s="61"/>
      <c r="BX463" s="61"/>
      <c r="BY463" s="61"/>
    </row>
    <row r="464" spans="1:77">
      <c r="A464" s="10"/>
      <c r="B464" s="10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AS464" s="61"/>
      <c r="AT464" s="61"/>
      <c r="AU464" s="61"/>
      <c r="AV464" s="61"/>
      <c r="AW464" s="61"/>
      <c r="AX464" s="61"/>
      <c r="AY464" s="61"/>
      <c r="AZ464" s="61"/>
      <c r="BA464" s="61"/>
      <c r="BB464" s="61"/>
      <c r="BC464" s="61"/>
      <c r="BD464" s="61"/>
      <c r="BE464" s="61"/>
      <c r="BF464" s="61"/>
      <c r="BG464" s="61"/>
      <c r="BH464" s="61"/>
      <c r="BI464" s="6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  <c r="BV464" s="61"/>
      <c r="BW464" s="61"/>
      <c r="BX464" s="61"/>
      <c r="BY464" s="61"/>
    </row>
    <row r="465" spans="1:77">
      <c r="A465" s="10"/>
      <c r="B465" s="10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AS465" s="61"/>
      <c r="AT465" s="61"/>
      <c r="AU465" s="61"/>
      <c r="AV465" s="61"/>
      <c r="AW465" s="61"/>
      <c r="AX465" s="61"/>
      <c r="AY465" s="61"/>
      <c r="AZ465" s="61"/>
      <c r="BA465" s="61"/>
      <c r="BB465" s="61"/>
      <c r="BC465" s="61"/>
      <c r="BD465" s="61"/>
      <c r="BE465" s="61"/>
      <c r="BF465" s="61"/>
      <c r="BG465" s="61"/>
      <c r="BH465" s="61"/>
      <c r="BI465" s="6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  <c r="BV465" s="61"/>
      <c r="BW465" s="61"/>
      <c r="BX465" s="61"/>
      <c r="BY465" s="61"/>
    </row>
    <row r="466" spans="1:77">
      <c r="A466" s="10"/>
      <c r="B466" s="10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AS466" s="61"/>
      <c r="AT466" s="61"/>
      <c r="AU466" s="61"/>
      <c r="AV466" s="61"/>
      <c r="AW466" s="61"/>
      <c r="AX466" s="61"/>
      <c r="AY466" s="61"/>
      <c r="AZ466" s="61"/>
      <c r="BA466" s="61"/>
      <c r="BB466" s="61"/>
      <c r="BC466" s="61"/>
      <c r="BD466" s="61"/>
      <c r="BE466" s="61"/>
      <c r="BF466" s="61"/>
      <c r="BG466" s="61"/>
      <c r="BH466" s="61"/>
      <c r="BI466" s="6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  <c r="BV466" s="61"/>
      <c r="BW466" s="61"/>
      <c r="BX466" s="61"/>
      <c r="BY466" s="61"/>
    </row>
    <row r="467" spans="1:77">
      <c r="A467" s="10"/>
      <c r="B467" s="10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AS467" s="61"/>
      <c r="AT467" s="61"/>
      <c r="AU467" s="61"/>
      <c r="AV467" s="61"/>
      <c r="AW467" s="61"/>
      <c r="AX467" s="61"/>
      <c r="AY467" s="61"/>
      <c r="AZ467" s="61"/>
      <c r="BA467" s="61"/>
      <c r="BB467" s="61"/>
      <c r="BC467" s="61"/>
      <c r="BD467" s="61"/>
      <c r="BE467" s="61"/>
      <c r="BF467" s="61"/>
      <c r="BG467" s="61"/>
      <c r="BH467" s="61"/>
      <c r="BI467" s="6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  <c r="BV467" s="61"/>
      <c r="BW467" s="61"/>
      <c r="BX467" s="61"/>
      <c r="BY467" s="61"/>
    </row>
    <row r="468" spans="1:77">
      <c r="A468" s="10"/>
      <c r="B468" s="10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AS468" s="61"/>
      <c r="AT468" s="61"/>
      <c r="AU468" s="61"/>
      <c r="AV468" s="61"/>
      <c r="AW468" s="61"/>
      <c r="AX468" s="61"/>
      <c r="AY468" s="61"/>
      <c r="AZ468" s="61"/>
      <c r="BA468" s="61"/>
      <c r="BB468" s="61"/>
      <c r="BC468" s="61"/>
      <c r="BD468" s="61"/>
      <c r="BE468" s="61"/>
      <c r="BF468" s="61"/>
      <c r="BG468" s="61"/>
      <c r="BH468" s="61"/>
      <c r="BI468" s="6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  <c r="BV468" s="61"/>
      <c r="BW468" s="61"/>
      <c r="BX468" s="61"/>
      <c r="BY468" s="61"/>
    </row>
    <row r="469" spans="1:77">
      <c r="A469" s="10"/>
      <c r="B469" s="10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AS469" s="61"/>
      <c r="AT469" s="61"/>
      <c r="AU469" s="61"/>
      <c r="AV469" s="61"/>
      <c r="AW469" s="61"/>
      <c r="AX469" s="61"/>
      <c r="AY469" s="61"/>
      <c r="AZ469" s="61"/>
      <c r="BA469" s="61"/>
      <c r="BB469" s="61"/>
      <c r="BC469" s="61"/>
      <c r="BD469" s="61"/>
      <c r="BE469" s="61"/>
      <c r="BF469" s="61"/>
      <c r="BG469" s="61"/>
      <c r="BH469" s="61"/>
      <c r="BI469" s="6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  <c r="BV469" s="61"/>
      <c r="BW469" s="61"/>
      <c r="BX469" s="61"/>
      <c r="BY469" s="61"/>
    </row>
    <row r="470" spans="1:77">
      <c r="A470" s="10"/>
      <c r="B470" s="10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6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  <c r="BY470" s="61"/>
    </row>
    <row r="471" spans="1:77">
      <c r="A471" s="10"/>
      <c r="B471" s="10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AS471" s="61"/>
      <c r="AT471" s="61"/>
      <c r="AU471" s="61"/>
      <c r="AV471" s="61"/>
      <c r="AW471" s="61"/>
      <c r="AX471" s="61"/>
      <c r="AY471" s="61"/>
      <c r="AZ471" s="61"/>
      <c r="BA471" s="61"/>
      <c r="BB471" s="61"/>
      <c r="BC471" s="61"/>
      <c r="BD471" s="61"/>
      <c r="BE471" s="61"/>
      <c r="BF471" s="61"/>
      <c r="BG471" s="61"/>
      <c r="BH471" s="61"/>
      <c r="BI471" s="6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  <c r="BV471" s="61"/>
      <c r="BW471" s="61"/>
      <c r="BX471" s="61"/>
      <c r="BY471" s="61"/>
    </row>
    <row r="472" spans="1:77">
      <c r="A472" s="10"/>
      <c r="B472" s="10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AS472" s="61"/>
      <c r="AT472" s="61"/>
      <c r="AU472" s="61"/>
      <c r="AV472" s="61"/>
      <c r="AW472" s="61"/>
      <c r="AX472" s="61"/>
      <c r="AY472" s="61"/>
      <c r="AZ472" s="61"/>
      <c r="BA472" s="61"/>
      <c r="BB472" s="61"/>
      <c r="BC472" s="61"/>
      <c r="BD472" s="61"/>
      <c r="BE472" s="61"/>
      <c r="BF472" s="61"/>
      <c r="BG472" s="61"/>
      <c r="BH472" s="61"/>
      <c r="BI472" s="6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  <c r="BV472" s="61"/>
      <c r="BW472" s="61"/>
      <c r="BX472" s="61"/>
      <c r="BY472" s="61"/>
    </row>
    <row r="473" spans="1:77">
      <c r="A473" s="10"/>
      <c r="B473" s="10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AS473" s="61"/>
      <c r="AT473" s="61"/>
      <c r="AU473" s="61"/>
      <c r="AV473" s="61"/>
      <c r="AW473" s="61"/>
      <c r="AX473" s="61"/>
      <c r="AY473" s="61"/>
      <c r="AZ473" s="61"/>
      <c r="BA473" s="61"/>
      <c r="BB473" s="61"/>
      <c r="BC473" s="61"/>
      <c r="BD473" s="61"/>
      <c r="BE473" s="61"/>
      <c r="BF473" s="61"/>
      <c r="BG473" s="61"/>
      <c r="BH473" s="61"/>
      <c r="BI473" s="6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  <c r="BV473" s="61"/>
      <c r="BW473" s="61"/>
      <c r="BX473" s="61"/>
      <c r="BY473" s="61"/>
    </row>
    <row r="474" spans="1:77">
      <c r="A474" s="10"/>
      <c r="B474" s="10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AS474" s="61"/>
      <c r="AT474" s="61"/>
      <c r="AU474" s="61"/>
      <c r="AV474" s="61"/>
      <c r="AW474" s="61"/>
      <c r="AX474" s="61"/>
      <c r="AY474" s="61"/>
      <c r="AZ474" s="61"/>
      <c r="BA474" s="61"/>
      <c r="BB474" s="61"/>
      <c r="BC474" s="61"/>
      <c r="BD474" s="61"/>
      <c r="BE474" s="61"/>
      <c r="BF474" s="61"/>
      <c r="BG474" s="61"/>
      <c r="BH474" s="61"/>
      <c r="BI474" s="6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  <c r="BV474" s="61"/>
      <c r="BW474" s="61"/>
      <c r="BX474" s="61"/>
      <c r="BY474" s="61"/>
    </row>
    <row r="475" spans="1:77">
      <c r="A475" s="10"/>
      <c r="B475" s="10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AS475" s="61"/>
      <c r="AT475" s="61"/>
      <c r="AU475" s="61"/>
      <c r="AV475" s="61"/>
      <c r="AW475" s="61"/>
      <c r="AX475" s="61"/>
      <c r="AY475" s="61"/>
      <c r="AZ475" s="61"/>
      <c r="BA475" s="61"/>
      <c r="BB475" s="61"/>
      <c r="BC475" s="61"/>
      <c r="BD475" s="61"/>
      <c r="BE475" s="61"/>
      <c r="BF475" s="61"/>
      <c r="BG475" s="61"/>
      <c r="BH475" s="61"/>
      <c r="BI475" s="6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  <c r="BV475" s="61"/>
      <c r="BW475" s="61"/>
      <c r="BX475" s="61"/>
      <c r="BY475" s="61"/>
    </row>
    <row r="476" spans="1:77">
      <c r="A476" s="10"/>
      <c r="B476" s="10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AS476" s="61"/>
      <c r="AT476" s="61"/>
      <c r="AU476" s="61"/>
      <c r="AV476" s="61"/>
      <c r="AW476" s="61"/>
      <c r="AX476" s="61"/>
      <c r="AY476" s="61"/>
      <c r="AZ476" s="61"/>
      <c r="BA476" s="61"/>
      <c r="BB476" s="61"/>
      <c r="BC476" s="61"/>
      <c r="BD476" s="61"/>
      <c r="BE476" s="61"/>
      <c r="BF476" s="61"/>
      <c r="BG476" s="61"/>
      <c r="BH476" s="61"/>
      <c r="BI476" s="6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  <c r="BV476" s="61"/>
      <c r="BW476" s="61"/>
      <c r="BX476" s="61"/>
      <c r="BY476" s="61"/>
    </row>
    <row r="477" spans="1:77">
      <c r="A477" s="10"/>
      <c r="B477" s="10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AS477" s="61"/>
      <c r="AT477" s="61"/>
      <c r="AU477" s="61"/>
      <c r="AV477" s="61"/>
      <c r="AW477" s="61"/>
      <c r="AX477" s="61"/>
      <c r="AY477" s="61"/>
      <c r="AZ477" s="61"/>
      <c r="BA477" s="61"/>
      <c r="BB477" s="61"/>
      <c r="BC477" s="61"/>
      <c r="BD477" s="61"/>
      <c r="BE477" s="61"/>
      <c r="BF477" s="61"/>
      <c r="BG477" s="61"/>
      <c r="BH477" s="61"/>
      <c r="BI477" s="6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  <c r="BV477" s="61"/>
      <c r="BW477" s="61"/>
      <c r="BX477" s="61"/>
      <c r="BY477" s="61"/>
    </row>
    <row r="478" spans="1:77">
      <c r="A478" s="10"/>
      <c r="B478" s="10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AS478" s="61"/>
      <c r="AT478" s="61"/>
      <c r="AU478" s="61"/>
      <c r="AV478" s="61"/>
      <c r="AW478" s="61"/>
      <c r="AX478" s="61"/>
      <c r="AY478" s="61"/>
      <c r="AZ478" s="61"/>
      <c r="BA478" s="61"/>
      <c r="BB478" s="61"/>
      <c r="BC478" s="61"/>
      <c r="BD478" s="61"/>
      <c r="BE478" s="61"/>
      <c r="BF478" s="61"/>
      <c r="BG478" s="61"/>
      <c r="BH478" s="61"/>
      <c r="BI478" s="6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  <c r="BV478" s="61"/>
      <c r="BW478" s="61"/>
      <c r="BX478" s="61"/>
      <c r="BY478" s="61"/>
    </row>
    <row r="479" spans="1:77">
      <c r="A479" s="10"/>
      <c r="B479" s="10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AS479" s="61"/>
      <c r="AT479" s="61"/>
      <c r="AU479" s="61"/>
      <c r="AV479" s="61"/>
      <c r="AW479" s="61"/>
      <c r="AX479" s="61"/>
      <c r="AY479" s="61"/>
      <c r="AZ479" s="61"/>
      <c r="BA479" s="61"/>
      <c r="BB479" s="61"/>
      <c r="BC479" s="61"/>
      <c r="BD479" s="61"/>
      <c r="BE479" s="61"/>
      <c r="BF479" s="61"/>
      <c r="BG479" s="61"/>
      <c r="BH479" s="61"/>
      <c r="BI479" s="6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  <c r="BV479" s="61"/>
      <c r="BW479" s="61"/>
      <c r="BX479" s="61"/>
      <c r="BY479" s="61"/>
    </row>
    <row r="480" spans="1:77">
      <c r="A480" s="10"/>
      <c r="B480" s="10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AS480" s="61"/>
      <c r="AT480" s="61"/>
      <c r="AU480" s="61"/>
      <c r="AV480" s="61"/>
      <c r="AW480" s="61"/>
      <c r="AX480" s="61"/>
      <c r="AY480" s="61"/>
      <c r="AZ480" s="61"/>
      <c r="BA480" s="61"/>
      <c r="BB480" s="61"/>
      <c r="BC480" s="61"/>
      <c r="BD480" s="61"/>
      <c r="BE480" s="61"/>
      <c r="BF480" s="61"/>
      <c r="BG480" s="61"/>
      <c r="BH480" s="61"/>
      <c r="BI480" s="6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  <c r="BV480" s="61"/>
      <c r="BW480" s="61"/>
      <c r="BX480" s="61"/>
      <c r="BY480" s="61"/>
    </row>
    <row r="481" spans="1:77">
      <c r="A481" s="10"/>
      <c r="B481" s="10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AS481" s="61"/>
      <c r="AT481" s="61"/>
      <c r="AU481" s="61"/>
      <c r="AV481" s="61"/>
      <c r="AW481" s="61"/>
      <c r="AX481" s="61"/>
      <c r="AY481" s="61"/>
      <c r="AZ481" s="61"/>
      <c r="BA481" s="61"/>
      <c r="BB481" s="61"/>
      <c r="BC481" s="61"/>
      <c r="BD481" s="61"/>
      <c r="BE481" s="61"/>
      <c r="BF481" s="61"/>
      <c r="BG481" s="61"/>
      <c r="BH481" s="61"/>
      <c r="BI481" s="6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  <c r="BV481" s="61"/>
      <c r="BW481" s="61"/>
      <c r="BX481" s="61"/>
      <c r="BY481" s="61"/>
    </row>
    <row r="482" spans="1:77">
      <c r="A482" s="10"/>
      <c r="B482" s="10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AS482" s="61"/>
      <c r="AT482" s="61"/>
      <c r="AU482" s="61"/>
      <c r="AV482" s="61"/>
      <c r="AW482" s="61"/>
      <c r="AX482" s="61"/>
      <c r="AY482" s="61"/>
      <c r="AZ482" s="61"/>
      <c r="BA482" s="61"/>
      <c r="BB482" s="61"/>
      <c r="BC482" s="61"/>
      <c r="BD482" s="61"/>
      <c r="BE482" s="61"/>
      <c r="BF482" s="61"/>
      <c r="BG482" s="61"/>
      <c r="BH482" s="61"/>
      <c r="BI482" s="6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  <c r="BV482" s="61"/>
      <c r="BW482" s="61"/>
      <c r="BX482" s="61"/>
      <c r="BY482" s="61"/>
    </row>
    <row r="483" spans="1:77">
      <c r="A483" s="10"/>
      <c r="B483" s="10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AS483" s="61"/>
      <c r="AT483" s="61"/>
      <c r="AU483" s="61"/>
      <c r="AV483" s="61"/>
      <c r="AW483" s="61"/>
      <c r="AX483" s="61"/>
      <c r="AY483" s="61"/>
      <c r="AZ483" s="61"/>
      <c r="BA483" s="61"/>
      <c r="BB483" s="61"/>
      <c r="BC483" s="61"/>
      <c r="BD483" s="61"/>
      <c r="BE483" s="61"/>
      <c r="BF483" s="61"/>
      <c r="BG483" s="61"/>
      <c r="BH483" s="61"/>
      <c r="BI483" s="6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  <c r="BV483" s="61"/>
      <c r="BW483" s="61"/>
      <c r="BX483" s="61"/>
      <c r="BY483" s="61"/>
    </row>
    <row r="484" spans="1:77">
      <c r="A484" s="10"/>
      <c r="B484" s="10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AS484" s="61"/>
      <c r="AT484" s="61"/>
      <c r="AU484" s="61"/>
      <c r="AV484" s="61"/>
      <c r="AW484" s="61"/>
      <c r="AX484" s="61"/>
      <c r="AY484" s="61"/>
      <c r="AZ484" s="61"/>
      <c r="BA484" s="61"/>
      <c r="BB484" s="61"/>
      <c r="BC484" s="61"/>
      <c r="BD484" s="61"/>
      <c r="BE484" s="61"/>
      <c r="BF484" s="61"/>
      <c r="BG484" s="61"/>
      <c r="BH484" s="61"/>
      <c r="BI484" s="6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  <c r="BV484" s="61"/>
      <c r="BW484" s="61"/>
      <c r="BX484" s="61"/>
      <c r="BY484" s="61"/>
    </row>
    <row r="485" spans="1:77">
      <c r="A485" s="10"/>
      <c r="B485" s="10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AS485" s="61"/>
      <c r="AT485" s="61"/>
      <c r="AU485" s="61"/>
      <c r="AV485" s="61"/>
      <c r="AW485" s="61"/>
      <c r="AX485" s="61"/>
      <c r="AY485" s="61"/>
      <c r="AZ485" s="61"/>
      <c r="BA485" s="61"/>
      <c r="BB485" s="61"/>
      <c r="BC485" s="61"/>
      <c r="BD485" s="61"/>
      <c r="BE485" s="61"/>
      <c r="BF485" s="61"/>
      <c r="BG485" s="61"/>
      <c r="BH485" s="61"/>
      <c r="BI485" s="6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  <c r="BV485" s="61"/>
      <c r="BW485" s="61"/>
      <c r="BX485" s="61"/>
      <c r="BY485" s="61"/>
    </row>
    <row r="486" spans="1:77">
      <c r="A486" s="10"/>
      <c r="B486" s="10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AS486" s="61"/>
      <c r="AT486" s="61"/>
      <c r="AU486" s="61"/>
      <c r="AV486" s="61"/>
      <c r="AW486" s="61"/>
      <c r="AX486" s="61"/>
      <c r="AY486" s="61"/>
      <c r="AZ486" s="61"/>
      <c r="BA486" s="61"/>
      <c r="BB486" s="61"/>
      <c r="BC486" s="61"/>
      <c r="BD486" s="61"/>
      <c r="BE486" s="61"/>
      <c r="BF486" s="61"/>
      <c r="BG486" s="61"/>
      <c r="BH486" s="61"/>
      <c r="BI486" s="6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  <c r="BV486" s="61"/>
      <c r="BW486" s="61"/>
      <c r="BX486" s="61"/>
      <c r="BY486" s="61"/>
    </row>
    <row r="487" spans="1:77">
      <c r="A487" s="10"/>
      <c r="B487" s="10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AS487" s="61"/>
      <c r="AT487" s="61"/>
      <c r="AU487" s="61"/>
      <c r="AV487" s="61"/>
      <c r="AW487" s="61"/>
      <c r="AX487" s="61"/>
      <c r="AY487" s="61"/>
      <c r="AZ487" s="61"/>
      <c r="BA487" s="61"/>
      <c r="BB487" s="61"/>
      <c r="BC487" s="61"/>
      <c r="BD487" s="61"/>
      <c r="BE487" s="61"/>
      <c r="BF487" s="61"/>
      <c r="BG487" s="61"/>
      <c r="BH487" s="61"/>
      <c r="BI487" s="6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  <c r="BV487" s="61"/>
      <c r="BW487" s="61"/>
      <c r="BX487" s="61"/>
      <c r="BY487" s="61"/>
    </row>
    <row r="488" spans="1:77">
      <c r="A488" s="10"/>
      <c r="B488" s="10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AS488" s="61"/>
      <c r="AT488" s="61"/>
      <c r="AU488" s="61"/>
      <c r="AV488" s="61"/>
      <c r="AW488" s="61"/>
      <c r="AX488" s="61"/>
      <c r="AY488" s="61"/>
      <c r="AZ488" s="61"/>
      <c r="BA488" s="61"/>
      <c r="BB488" s="61"/>
      <c r="BC488" s="61"/>
      <c r="BD488" s="61"/>
      <c r="BE488" s="61"/>
      <c r="BF488" s="61"/>
      <c r="BG488" s="61"/>
      <c r="BH488" s="61"/>
      <c r="BI488" s="6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  <c r="BV488" s="61"/>
      <c r="BW488" s="61"/>
      <c r="BX488" s="61"/>
      <c r="BY488" s="61"/>
    </row>
    <row r="489" spans="1:77">
      <c r="A489" s="10"/>
      <c r="B489" s="10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AS489" s="61"/>
      <c r="AT489" s="61"/>
      <c r="AU489" s="61"/>
      <c r="AV489" s="61"/>
      <c r="AW489" s="61"/>
      <c r="AX489" s="61"/>
      <c r="AY489" s="61"/>
      <c r="AZ489" s="61"/>
      <c r="BA489" s="61"/>
      <c r="BB489" s="61"/>
      <c r="BC489" s="61"/>
      <c r="BD489" s="61"/>
      <c r="BE489" s="61"/>
      <c r="BF489" s="61"/>
      <c r="BG489" s="61"/>
      <c r="BH489" s="61"/>
      <c r="BI489" s="6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  <c r="BV489" s="61"/>
      <c r="BW489" s="61"/>
      <c r="BX489" s="61"/>
      <c r="BY489" s="61"/>
    </row>
    <row r="490" spans="1:77">
      <c r="A490" s="10"/>
      <c r="B490" s="10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AS490" s="61"/>
      <c r="AT490" s="61"/>
      <c r="AU490" s="61"/>
      <c r="AV490" s="61"/>
      <c r="AW490" s="61"/>
      <c r="AX490" s="61"/>
      <c r="AY490" s="61"/>
      <c r="AZ490" s="61"/>
      <c r="BA490" s="61"/>
      <c r="BB490" s="61"/>
      <c r="BC490" s="61"/>
      <c r="BD490" s="61"/>
      <c r="BE490" s="61"/>
      <c r="BF490" s="61"/>
      <c r="BG490" s="61"/>
      <c r="BH490" s="61"/>
      <c r="BI490" s="6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  <c r="BV490" s="61"/>
      <c r="BW490" s="61"/>
      <c r="BX490" s="61"/>
      <c r="BY490" s="61"/>
    </row>
    <row r="491" spans="1:77">
      <c r="A491" s="10"/>
      <c r="B491" s="10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AS491" s="61"/>
      <c r="AT491" s="61"/>
      <c r="AU491" s="61"/>
      <c r="AV491" s="61"/>
      <c r="AW491" s="61"/>
      <c r="AX491" s="61"/>
      <c r="AY491" s="61"/>
      <c r="AZ491" s="61"/>
      <c r="BA491" s="61"/>
      <c r="BB491" s="61"/>
      <c r="BC491" s="61"/>
      <c r="BD491" s="61"/>
      <c r="BE491" s="61"/>
      <c r="BF491" s="61"/>
      <c r="BG491" s="61"/>
      <c r="BH491" s="61"/>
      <c r="BI491" s="6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  <c r="BV491" s="61"/>
      <c r="BW491" s="61"/>
      <c r="BX491" s="61"/>
      <c r="BY491" s="61"/>
    </row>
    <row r="492" spans="1:77">
      <c r="A492" s="10"/>
      <c r="B492" s="10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AS492" s="61"/>
      <c r="AT492" s="61"/>
      <c r="AU492" s="61"/>
      <c r="AV492" s="61"/>
      <c r="AW492" s="61"/>
      <c r="AX492" s="61"/>
      <c r="AY492" s="61"/>
      <c r="AZ492" s="61"/>
      <c r="BA492" s="61"/>
      <c r="BB492" s="61"/>
      <c r="BC492" s="61"/>
      <c r="BD492" s="61"/>
      <c r="BE492" s="61"/>
      <c r="BF492" s="61"/>
      <c r="BG492" s="61"/>
      <c r="BH492" s="61"/>
      <c r="BI492" s="6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  <c r="BV492" s="61"/>
      <c r="BW492" s="61"/>
      <c r="BX492" s="61"/>
      <c r="BY492" s="61"/>
    </row>
    <row r="493" spans="1:77">
      <c r="A493" s="10"/>
      <c r="B493" s="10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AS493" s="61"/>
      <c r="AT493" s="61"/>
      <c r="AU493" s="61"/>
      <c r="AV493" s="61"/>
      <c r="AW493" s="61"/>
      <c r="AX493" s="61"/>
      <c r="AY493" s="61"/>
      <c r="AZ493" s="61"/>
      <c r="BA493" s="61"/>
      <c r="BB493" s="61"/>
      <c r="BC493" s="61"/>
      <c r="BD493" s="61"/>
      <c r="BE493" s="61"/>
      <c r="BF493" s="61"/>
      <c r="BG493" s="61"/>
      <c r="BH493" s="61"/>
      <c r="BI493" s="6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  <c r="BV493" s="61"/>
      <c r="BW493" s="61"/>
      <c r="BX493" s="61"/>
      <c r="BY493" s="61"/>
    </row>
    <row r="494" spans="1:77">
      <c r="A494" s="10"/>
      <c r="B494" s="1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AS494" s="61"/>
      <c r="AT494" s="61"/>
      <c r="AU494" s="61"/>
      <c r="AV494" s="61"/>
      <c r="AW494" s="61"/>
      <c r="AX494" s="61"/>
      <c r="AY494" s="61"/>
      <c r="AZ494" s="61"/>
      <c r="BA494" s="61"/>
      <c r="BB494" s="61"/>
      <c r="BC494" s="61"/>
      <c r="BD494" s="61"/>
      <c r="BE494" s="61"/>
      <c r="BF494" s="61"/>
      <c r="BG494" s="61"/>
      <c r="BH494" s="61"/>
      <c r="BI494" s="6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  <c r="BV494" s="61"/>
      <c r="BW494" s="61"/>
      <c r="BX494" s="61"/>
      <c r="BY494" s="61"/>
    </row>
    <row r="495" spans="1:77">
      <c r="A495" s="10"/>
      <c r="B495" s="10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AS495" s="61"/>
      <c r="AT495" s="61"/>
      <c r="AU495" s="61"/>
      <c r="AV495" s="61"/>
      <c r="AW495" s="61"/>
      <c r="AX495" s="61"/>
      <c r="AY495" s="61"/>
      <c r="AZ495" s="61"/>
      <c r="BA495" s="61"/>
      <c r="BB495" s="61"/>
      <c r="BC495" s="61"/>
      <c r="BD495" s="61"/>
      <c r="BE495" s="61"/>
      <c r="BF495" s="61"/>
      <c r="BG495" s="61"/>
      <c r="BH495" s="61"/>
      <c r="BI495" s="6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  <c r="BV495" s="61"/>
      <c r="BW495" s="61"/>
      <c r="BX495" s="61"/>
      <c r="BY495" s="61"/>
    </row>
    <row r="496" spans="1:77">
      <c r="A496" s="10"/>
      <c r="B496" s="10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AS496" s="61"/>
      <c r="AT496" s="61"/>
      <c r="AU496" s="61"/>
      <c r="AV496" s="61"/>
      <c r="AW496" s="61"/>
      <c r="AX496" s="61"/>
      <c r="AY496" s="61"/>
      <c r="AZ496" s="61"/>
      <c r="BA496" s="61"/>
      <c r="BB496" s="61"/>
      <c r="BC496" s="61"/>
      <c r="BD496" s="61"/>
      <c r="BE496" s="61"/>
      <c r="BF496" s="61"/>
      <c r="BG496" s="61"/>
      <c r="BH496" s="61"/>
      <c r="BI496" s="6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  <c r="BV496" s="61"/>
      <c r="BW496" s="61"/>
      <c r="BX496" s="61"/>
      <c r="BY496" s="61"/>
    </row>
    <row r="497" spans="1:77">
      <c r="A497" s="10"/>
      <c r="B497" s="10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AS497" s="61"/>
      <c r="AT497" s="61"/>
      <c r="AU497" s="61"/>
      <c r="AV497" s="61"/>
      <c r="AW497" s="61"/>
      <c r="AX497" s="61"/>
      <c r="AY497" s="61"/>
      <c r="AZ497" s="61"/>
      <c r="BA497" s="61"/>
      <c r="BB497" s="61"/>
      <c r="BC497" s="61"/>
      <c r="BD497" s="61"/>
      <c r="BE497" s="61"/>
      <c r="BF497" s="61"/>
      <c r="BG497" s="61"/>
      <c r="BH497" s="61"/>
      <c r="BI497" s="6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  <c r="BV497" s="61"/>
      <c r="BW497" s="61"/>
      <c r="BX497" s="61"/>
      <c r="BY497" s="61"/>
    </row>
    <row r="498" spans="1:77">
      <c r="A498" s="10"/>
      <c r="B498" s="10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AS498" s="61"/>
      <c r="AT498" s="61"/>
      <c r="AU498" s="61"/>
      <c r="AV498" s="61"/>
      <c r="AW498" s="61"/>
      <c r="AX498" s="61"/>
      <c r="AY498" s="61"/>
      <c r="AZ498" s="61"/>
      <c r="BA498" s="61"/>
      <c r="BB498" s="61"/>
      <c r="BC498" s="61"/>
      <c r="BD498" s="61"/>
      <c r="BE498" s="61"/>
      <c r="BF498" s="61"/>
      <c r="BG498" s="61"/>
      <c r="BH498" s="61"/>
      <c r="BI498" s="6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  <c r="BV498" s="61"/>
      <c r="BW498" s="61"/>
      <c r="BX498" s="61"/>
      <c r="BY498" s="61"/>
    </row>
    <row r="499" spans="1:77">
      <c r="A499" s="10"/>
      <c r="B499" s="10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AS499" s="61"/>
      <c r="AT499" s="61"/>
      <c r="AU499" s="61"/>
      <c r="AV499" s="61"/>
      <c r="AW499" s="61"/>
      <c r="AX499" s="61"/>
      <c r="AY499" s="61"/>
      <c r="AZ499" s="61"/>
      <c r="BA499" s="61"/>
      <c r="BB499" s="61"/>
      <c r="BC499" s="61"/>
      <c r="BD499" s="61"/>
      <c r="BE499" s="61"/>
      <c r="BF499" s="61"/>
      <c r="BG499" s="61"/>
      <c r="BH499" s="61"/>
      <c r="BI499" s="6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  <c r="BV499" s="61"/>
      <c r="BW499" s="61"/>
      <c r="BX499" s="61"/>
      <c r="BY499" s="61"/>
    </row>
    <row r="500" spans="1:77">
      <c r="A500" s="10"/>
      <c r="B500" s="10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AS500" s="61"/>
      <c r="AT500" s="61"/>
      <c r="AU500" s="61"/>
      <c r="AV500" s="61"/>
      <c r="AW500" s="61"/>
      <c r="AX500" s="61"/>
      <c r="AY500" s="61"/>
      <c r="AZ500" s="61"/>
      <c r="BA500" s="61"/>
      <c r="BB500" s="61"/>
      <c r="BC500" s="61"/>
      <c r="BD500" s="61"/>
      <c r="BE500" s="61"/>
      <c r="BF500" s="61"/>
      <c r="BG500" s="61"/>
      <c r="BH500" s="61"/>
      <c r="BI500" s="6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  <c r="BV500" s="61"/>
      <c r="BW500" s="61"/>
      <c r="BX500" s="61"/>
      <c r="BY500" s="61"/>
    </row>
    <row r="501" spans="1:77">
      <c r="A501" s="10"/>
      <c r="B501" s="10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AS501" s="61"/>
      <c r="AT501" s="61"/>
      <c r="AU501" s="61"/>
      <c r="AV501" s="61"/>
      <c r="AW501" s="61"/>
      <c r="AX501" s="61"/>
      <c r="AY501" s="61"/>
      <c r="AZ501" s="61"/>
      <c r="BA501" s="61"/>
      <c r="BB501" s="61"/>
      <c r="BC501" s="61"/>
      <c r="BD501" s="61"/>
      <c r="BE501" s="61"/>
      <c r="BF501" s="61"/>
      <c r="BG501" s="61"/>
      <c r="BH501" s="61"/>
      <c r="BI501" s="6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  <c r="BV501" s="61"/>
      <c r="BW501" s="61"/>
      <c r="BX501" s="61"/>
      <c r="BY501" s="61"/>
    </row>
    <row r="502" spans="1:77">
      <c r="A502" s="10"/>
      <c r="B502" s="10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AS502" s="61"/>
      <c r="AT502" s="61"/>
      <c r="AU502" s="61"/>
      <c r="AV502" s="61"/>
      <c r="AW502" s="61"/>
      <c r="AX502" s="61"/>
      <c r="AY502" s="61"/>
      <c r="AZ502" s="61"/>
      <c r="BA502" s="61"/>
      <c r="BB502" s="61"/>
      <c r="BC502" s="61"/>
      <c r="BD502" s="61"/>
      <c r="BE502" s="61"/>
      <c r="BF502" s="61"/>
      <c r="BG502" s="61"/>
      <c r="BH502" s="61"/>
      <c r="BI502" s="6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  <c r="BV502" s="61"/>
      <c r="BW502" s="61"/>
      <c r="BX502" s="61"/>
      <c r="BY502" s="61"/>
    </row>
    <row r="503" spans="1:77">
      <c r="A503" s="10"/>
      <c r="B503" s="10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AS503" s="61"/>
      <c r="AT503" s="61"/>
      <c r="AU503" s="61"/>
      <c r="AV503" s="61"/>
      <c r="AW503" s="61"/>
      <c r="AX503" s="61"/>
      <c r="AY503" s="61"/>
      <c r="AZ503" s="61"/>
      <c r="BA503" s="61"/>
      <c r="BB503" s="61"/>
      <c r="BC503" s="61"/>
      <c r="BD503" s="61"/>
      <c r="BE503" s="61"/>
      <c r="BF503" s="61"/>
      <c r="BG503" s="61"/>
      <c r="BH503" s="61"/>
      <c r="BI503" s="6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  <c r="BV503" s="61"/>
      <c r="BW503" s="61"/>
      <c r="BX503" s="61"/>
      <c r="BY503" s="61"/>
    </row>
    <row r="504" spans="1:77">
      <c r="A504" s="10"/>
      <c r="B504" s="10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AS504" s="61"/>
      <c r="AT504" s="61"/>
      <c r="AU504" s="61"/>
      <c r="AV504" s="61"/>
      <c r="AW504" s="61"/>
      <c r="AX504" s="61"/>
      <c r="AY504" s="61"/>
      <c r="AZ504" s="61"/>
      <c r="BA504" s="61"/>
      <c r="BB504" s="61"/>
      <c r="BC504" s="61"/>
      <c r="BD504" s="61"/>
      <c r="BE504" s="61"/>
      <c r="BF504" s="61"/>
      <c r="BG504" s="61"/>
      <c r="BH504" s="61"/>
      <c r="BI504" s="6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  <c r="BV504" s="61"/>
      <c r="BW504" s="61"/>
      <c r="BX504" s="61"/>
      <c r="BY504" s="61"/>
    </row>
    <row r="505" spans="1:77">
      <c r="A505" s="10"/>
      <c r="B505" s="10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AS505" s="61"/>
      <c r="AT505" s="61"/>
      <c r="AU505" s="61"/>
      <c r="AV505" s="61"/>
      <c r="AW505" s="61"/>
      <c r="AX505" s="61"/>
      <c r="AY505" s="61"/>
      <c r="AZ505" s="61"/>
      <c r="BA505" s="61"/>
      <c r="BB505" s="61"/>
      <c r="BC505" s="61"/>
      <c r="BD505" s="61"/>
      <c r="BE505" s="61"/>
      <c r="BF505" s="61"/>
      <c r="BG505" s="61"/>
      <c r="BH505" s="61"/>
      <c r="BI505" s="6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  <c r="BV505" s="61"/>
      <c r="BW505" s="61"/>
      <c r="BX505" s="61"/>
      <c r="BY505" s="61"/>
    </row>
    <row r="506" spans="1:77">
      <c r="A506" s="10"/>
      <c r="B506" s="10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AS506" s="61"/>
      <c r="AT506" s="61"/>
      <c r="AU506" s="61"/>
      <c r="AV506" s="61"/>
      <c r="AW506" s="61"/>
      <c r="AX506" s="61"/>
      <c r="AY506" s="61"/>
      <c r="AZ506" s="61"/>
      <c r="BA506" s="61"/>
      <c r="BB506" s="61"/>
      <c r="BC506" s="61"/>
      <c r="BD506" s="61"/>
      <c r="BE506" s="61"/>
      <c r="BF506" s="61"/>
      <c r="BG506" s="61"/>
      <c r="BH506" s="61"/>
      <c r="BI506" s="6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  <c r="BV506" s="61"/>
      <c r="BW506" s="61"/>
      <c r="BX506" s="61"/>
      <c r="BY506" s="61"/>
    </row>
    <row r="507" spans="1:77">
      <c r="A507" s="10"/>
      <c r="B507" s="10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AS507" s="61"/>
      <c r="AT507" s="61"/>
      <c r="AU507" s="61"/>
      <c r="AV507" s="61"/>
      <c r="AW507" s="61"/>
      <c r="AX507" s="61"/>
      <c r="AY507" s="61"/>
      <c r="AZ507" s="61"/>
      <c r="BA507" s="61"/>
      <c r="BB507" s="61"/>
      <c r="BC507" s="61"/>
      <c r="BD507" s="61"/>
      <c r="BE507" s="61"/>
      <c r="BF507" s="61"/>
      <c r="BG507" s="61"/>
      <c r="BH507" s="61"/>
      <c r="BI507" s="6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  <c r="BV507" s="61"/>
      <c r="BW507" s="61"/>
      <c r="BX507" s="61"/>
      <c r="BY507" s="61"/>
    </row>
    <row r="508" spans="1:77">
      <c r="A508" s="10"/>
      <c r="B508" s="10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AS508" s="61"/>
      <c r="AT508" s="61"/>
      <c r="AU508" s="61"/>
      <c r="AV508" s="61"/>
      <c r="AW508" s="61"/>
      <c r="AX508" s="61"/>
      <c r="AY508" s="61"/>
      <c r="AZ508" s="61"/>
      <c r="BA508" s="61"/>
      <c r="BB508" s="61"/>
      <c r="BC508" s="61"/>
      <c r="BD508" s="61"/>
      <c r="BE508" s="61"/>
      <c r="BF508" s="61"/>
      <c r="BG508" s="61"/>
      <c r="BH508" s="61"/>
      <c r="BI508" s="6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  <c r="BV508" s="61"/>
      <c r="BW508" s="61"/>
      <c r="BX508" s="61"/>
      <c r="BY508" s="61"/>
    </row>
    <row r="509" spans="1:77">
      <c r="A509" s="10"/>
      <c r="B509" s="10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AS509" s="61"/>
      <c r="AT509" s="61"/>
      <c r="AU509" s="61"/>
      <c r="AV509" s="61"/>
      <c r="AW509" s="61"/>
      <c r="AX509" s="61"/>
      <c r="AY509" s="61"/>
      <c r="AZ509" s="61"/>
      <c r="BA509" s="61"/>
      <c r="BB509" s="61"/>
      <c r="BC509" s="61"/>
      <c r="BD509" s="61"/>
      <c r="BE509" s="61"/>
      <c r="BF509" s="61"/>
      <c r="BG509" s="61"/>
      <c r="BH509" s="61"/>
      <c r="BI509" s="6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  <c r="BV509" s="61"/>
      <c r="BW509" s="61"/>
      <c r="BX509" s="61"/>
      <c r="BY509" s="61"/>
    </row>
    <row r="510" spans="1:77">
      <c r="A510" s="10"/>
      <c r="B510" s="10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AS510" s="61"/>
      <c r="AT510" s="61"/>
      <c r="AU510" s="61"/>
      <c r="AV510" s="61"/>
      <c r="AW510" s="61"/>
      <c r="AX510" s="61"/>
      <c r="AY510" s="61"/>
      <c r="AZ510" s="61"/>
      <c r="BA510" s="61"/>
      <c r="BB510" s="61"/>
      <c r="BC510" s="61"/>
      <c r="BD510" s="61"/>
      <c r="BE510" s="61"/>
      <c r="BF510" s="61"/>
      <c r="BG510" s="61"/>
      <c r="BH510" s="61"/>
      <c r="BI510" s="6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  <c r="BV510" s="61"/>
      <c r="BW510" s="61"/>
      <c r="BX510" s="61"/>
      <c r="BY510" s="61"/>
    </row>
    <row r="511" spans="1:77">
      <c r="A511" s="10"/>
      <c r="B511" s="10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AS511" s="61"/>
      <c r="AT511" s="61"/>
      <c r="AU511" s="61"/>
      <c r="AV511" s="61"/>
      <c r="AW511" s="61"/>
      <c r="AX511" s="61"/>
      <c r="AY511" s="61"/>
      <c r="AZ511" s="61"/>
      <c r="BA511" s="61"/>
      <c r="BB511" s="61"/>
      <c r="BC511" s="61"/>
      <c r="BD511" s="61"/>
      <c r="BE511" s="61"/>
      <c r="BF511" s="61"/>
      <c r="BG511" s="61"/>
      <c r="BH511" s="61"/>
      <c r="BI511" s="6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  <c r="BV511" s="61"/>
      <c r="BW511" s="61"/>
      <c r="BX511" s="61"/>
      <c r="BY511" s="61"/>
    </row>
    <row r="512" spans="1:77">
      <c r="A512" s="10"/>
      <c r="B512" s="10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AS512" s="61"/>
      <c r="AT512" s="61"/>
      <c r="AU512" s="61"/>
      <c r="AV512" s="61"/>
      <c r="AW512" s="61"/>
      <c r="AX512" s="61"/>
      <c r="AY512" s="61"/>
      <c r="AZ512" s="61"/>
      <c r="BA512" s="61"/>
      <c r="BB512" s="61"/>
      <c r="BC512" s="61"/>
      <c r="BD512" s="61"/>
      <c r="BE512" s="61"/>
      <c r="BF512" s="61"/>
      <c r="BG512" s="61"/>
      <c r="BH512" s="61"/>
      <c r="BI512" s="6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  <c r="BV512" s="61"/>
      <c r="BW512" s="61"/>
      <c r="BX512" s="61"/>
      <c r="BY512" s="61"/>
    </row>
    <row r="513" spans="1:77">
      <c r="A513" s="10"/>
      <c r="B513" s="10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AS513" s="61"/>
      <c r="AT513" s="61"/>
      <c r="AU513" s="61"/>
      <c r="AV513" s="61"/>
      <c r="AW513" s="61"/>
      <c r="AX513" s="61"/>
      <c r="AY513" s="61"/>
      <c r="AZ513" s="61"/>
      <c r="BA513" s="61"/>
      <c r="BB513" s="61"/>
      <c r="BC513" s="61"/>
      <c r="BD513" s="61"/>
      <c r="BE513" s="61"/>
      <c r="BF513" s="61"/>
      <c r="BG513" s="61"/>
      <c r="BH513" s="61"/>
      <c r="BI513" s="6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  <c r="BV513" s="61"/>
      <c r="BW513" s="61"/>
      <c r="BX513" s="61"/>
      <c r="BY513" s="61"/>
    </row>
    <row r="514" spans="1:77">
      <c r="A514" s="10"/>
      <c r="B514" s="10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AS514" s="61"/>
      <c r="AT514" s="61"/>
      <c r="AU514" s="61"/>
      <c r="AV514" s="61"/>
      <c r="AW514" s="61"/>
      <c r="AX514" s="61"/>
      <c r="AY514" s="61"/>
      <c r="AZ514" s="61"/>
      <c r="BA514" s="61"/>
      <c r="BB514" s="61"/>
      <c r="BC514" s="61"/>
      <c r="BD514" s="61"/>
      <c r="BE514" s="61"/>
      <c r="BF514" s="61"/>
      <c r="BG514" s="61"/>
      <c r="BH514" s="61"/>
      <c r="BI514" s="6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  <c r="BV514" s="61"/>
      <c r="BW514" s="61"/>
      <c r="BX514" s="61"/>
      <c r="BY514" s="61"/>
    </row>
    <row r="515" spans="1:77">
      <c r="A515" s="10"/>
      <c r="B515" s="10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AS515" s="61"/>
      <c r="AT515" s="61"/>
      <c r="AU515" s="61"/>
      <c r="AV515" s="61"/>
      <c r="AW515" s="61"/>
      <c r="AX515" s="61"/>
      <c r="AY515" s="61"/>
      <c r="AZ515" s="61"/>
      <c r="BA515" s="61"/>
      <c r="BB515" s="61"/>
      <c r="BC515" s="61"/>
      <c r="BD515" s="61"/>
      <c r="BE515" s="61"/>
      <c r="BF515" s="61"/>
      <c r="BG515" s="61"/>
      <c r="BH515" s="61"/>
      <c r="BI515" s="6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  <c r="BV515" s="61"/>
      <c r="BW515" s="61"/>
      <c r="BX515" s="61"/>
      <c r="BY515" s="61"/>
    </row>
    <row r="516" spans="1:77">
      <c r="A516" s="10"/>
      <c r="B516" s="10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AS516" s="61"/>
      <c r="AT516" s="61"/>
      <c r="AU516" s="61"/>
      <c r="AV516" s="61"/>
      <c r="AW516" s="61"/>
      <c r="AX516" s="61"/>
      <c r="AY516" s="61"/>
      <c r="AZ516" s="61"/>
      <c r="BA516" s="61"/>
      <c r="BB516" s="61"/>
      <c r="BC516" s="61"/>
      <c r="BD516" s="61"/>
      <c r="BE516" s="61"/>
      <c r="BF516" s="61"/>
      <c r="BG516" s="61"/>
      <c r="BH516" s="61"/>
      <c r="BI516" s="6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  <c r="BV516" s="61"/>
      <c r="BW516" s="61"/>
      <c r="BX516" s="61"/>
      <c r="BY516" s="61"/>
    </row>
    <row r="517" spans="1:77">
      <c r="A517" s="10"/>
      <c r="B517" s="10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AS517" s="61"/>
      <c r="AT517" s="61"/>
      <c r="AU517" s="61"/>
      <c r="AV517" s="61"/>
      <c r="AW517" s="61"/>
      <c r="AX517" s="61"/>
      <c r="AY517" s="61"/>
      <c r="AZ517" s="61"/>
      <c r="BA517" s="61"/>
      <c r="BB517" s="61"/>
      <c r="BC517" s="61"/>
      <c r="BD517" s="61"/>
      <c r="BE517" s="61"/>
      <c r="BF517" s="61"/>
      <c r="BG517" s="61"/>
      <c r="BH517" s="61"/>
      <c r="BI517" s="6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  <c r="BV517" s="61"/>
      <c r="BW517" s="61"/>
      <c r="BX517" s="61"/>
      <c r="BY517" s="61"/>
    </row>
    <row r="518" spans="1:77">
      <c r="A518" s="10"/>
      <c r="B518" s="10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AS518" s="61"/>
      <c r="AT518" s="61"/>
      <c r="AU518" s="61"/>
      <c r="AV518" s="61"/>
      <c r="AW518" s="61"/>
      <c r="AX518" s="61"/>
      <c r="AY518" s="61"/>
      <c r="AZ518" s="61"/>
      <c r="BA518" s="61"/>
      <c r="BB518" s="61"/>
      <c r="BC518" s="61"/>
      <c r="BD518" s="61"/>
      <c r="BE518" s="61"/>
      <c r="BF518" s="61"/>
      <c r="BG518" s="61"/>
      <c r="BH518" s="61"/>
      <c r="BI518" s="6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  <c r="BV518" s="61"/>
      <c r="BW518" s="61"/>
      <c r="BX518" s="61"/>
      <c r="BY518" s="61"/>
    </row>
    <row r="519" spans="1:77">
      <c r="A519" s="10"/>
      <c r="B519" s="10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AS519" s="61"/>
      <c r="AT519" s="61"/>
      <c r="AU519" s="61"/>
      <c r="AV519" s="61"/>
      <c r="AW519" s="61"/>
      <c r="AX519" s="61"/>
      <c r="AY519" s="61"/>
      <c r="AZ519" s="61"/>
      <c r="BA519" s="61"/>
      <c r="BB519" s="61"/>
      <c r="BC519" s="61"/>
      <c r="BD519" s="61"/>
      <c r="BE519" s="61"/>
      <c r="BF519" s="61"/>
      <c r="BG519" s="61"/>
      <c r="BH519" s="61"/>
      <c r="BI519" s="6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  <c r="BV519" s="61"/>
      <c r="BW519" s="61"/>
      <c r="BX519" s="61"/>
      <c r="BY519" s="61"/>
    </row>
    <row r="520" spans="1:77">
      <c r="A520" s="10"/>
      <c r="B520" s="10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AS520" s="61"/>
      <c r="AT520" s="61"/>
      <c r="AU520" s="61"/>
      <c r="AV520" s="61"/>
      <c r="AW520" s="61"/>
      <c r="AX520" s="61"/>
      <c r="AY520" s="61"/>
      <c r="AZ520" s="61"/>
      <c r="BA520" s="61"/>
      <c r="BB520" s="61"/>
      <c r="BC520" s="61"/>
      <c r="BD520" s="61"/>
      <c r="BE520" s="61"/>
      <c r="BF520" s="61"/>
      <c r="BG520" s="61"/>
      <c r="BH520" s="61"/>
      <c r="BI520" s="6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  <c r="BV520" s="61"/>
      <c r="BW520" s="61"/>
      <c r="BX520" s="61"/>
      <c r="BY520" s="61"/>
    </row>
    <row r="521" spans="1:77">
      <c r="A521" s="10"/>
      <c r="B521" s="10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AS521" s="61"/>
      <c r="AT521" s="61"/>
      <c r="AU521" s="61"/>
      <c r="AV521" s="61"/>
      <c r="AW521" s="61"/>
      <c r="AX521" s="61"/>
      <c r="AY521" s="61"/>
      <c r="AZ521" s="61"/>
      <c r="BA521" s="61"/>
      <c r="BB521" s="61"/>
      <c r="BC521" s="61"/>
      <c r="BD521" s="61"/>
      <c r="BE521" s="61"/>
      <c r="BF521" s="61"/>
      <c r="BG521" s="61"/>
      <c r="BH521" s="61"/>
      <c r="BI521" s="6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  <c r="BV521" s="61"/>
      <c r="BW521" s="61"/>
      <c r="BX521" s="61"/>
      <c r="BY521" s="61"/>
    </row>
    <row r="522" spans="1:77">
      <c r="A522" s="10"/>
      <c r="B522" s="10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AS522" s="61"/>
      <c r="AT522" s="61"/>
      <c r="AU522" s="61"/>
      <c r="AV522" s="61"/>
      <c r="AW522" s="61"/>
      <c r="AX522" s="61"/>
      <c r="AY522" s="61"/>
      <c r="AZ522" s="61"/>
      <c r="BA522" s="61"/>
      <c r="BB522" s="61"/>
      <c r="BC522" s="61"/>
      <c r="BD522" s="61"/>
      <c r="BE522" s="61"/>
      <c r="BF522" s="61"/>
      <c r="BG522" s="61"/>
      <c r="BH522" s="61"/>
      <c r="BI522" s="6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  <c r="BV522" s="61"/>
      <c r="BW522" s="61"/>
      <c r="BX522" s="61"/>
      <c r="BY522" s="61"/>
    </row>
    <row r="523" spans="1:77">
      <c r="A523" s="10"/>
      <c r="B523" s="10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AS523" s="61"/>
      <c r="AT523" s="61"/>
      <c r="AU523" s="61"/>
      <c r="AV523" s="61"/>
      <c r="AW523" s="61"/>
      <c r="AX523" s="61"/>
      <c r="AY523" s="61"/>
      <c r="AZ523" s="61"/>
      <c r="BA523" s="61"/>
      <c r="BB523" s="61"/>
      <c r="BC523" s="61"/>
      <c r="BD523" s="61"/>
      <c r="BE523" s="61"/>
      <c r="BF523" s="61"/>
      <c r="BG523" s="61"/>
      <c r="BH523" s="61"/>
      <c r="BI523" s="6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  <c r="BV523" s="61"/>
      <c r="BW523" s="61"/>
      <c r="BX523" s="61"/>
      <c r="BY523" s="61"/>
    </row>
    <row r="524" spans="1:77">
      <c r="A524" s="10"/>
      <c r="B524" s="10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AS524" s="61"/>
      <c r="AT524" s="61"/>
      <c r="AU524" s="61"/>
      <c r="AV524" s="61"/>
      <c r="AW524" s="61"/>
      <c r="AX524" s="61"/>
      <c r="AY524" s="61"/>
      <c r="AZ524" s="61"/>
      <c r="BA524" s="61"/>
      <c r="BB524" s="61"/>
      <c r="BC524" s="61"/>
      <c r="BD524" s="61"/>
      <c r="BE524" s="61"/>
      <c r="BF524" s="61"/>
      <c r="BG524" s="61"/>
      <c r="BH524" s="61"/>
      <c r="BI524" s="6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  <c r="BV524" s="61"/>
      <c r="BW524" s="61"/>
      <c r="BX524" s="61"/>
      <c r="BY524" s="61"/>
    </row>
    <row r="525" spans="1:77">
      <c r="A525" s="10"/>
      <c r="B525" s="10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AS525" s="61"/>
      <c r="AT525" s="61"/>
      <c r="AU525" s="61"/>
      <c r="AV525" s="61"/>
      <c r="AW525" s="61"/>
      <c r="AX525" s="61"/>
      <c r="AY525" s="61"/>
      <c r="AZ525" s="61"/>
      <c r="BA525" s="61"/>
      <c r="BB525" s="61"/>
      <c r="BC525" s="61"/>
      <c r="BD525" s="61"/>
      <c r="BE525" s="61"/>
      <c r="BF525" s="61"/>
      <c r="BG525" s="61"/>
      <c r="BH525" s="61"/>
      <c r="BI525" s="6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  <c r="BV525" s="61"/>
      <c r="BW525" s="61"/>
      <c r="BX525" s="61"/>
      <c r="BY525" s="61"/>
    </row>
    <row r="526" spans="1:77">
      <c r="A526" s="10"/>
      <c r="B526" s="10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AS526" s="61"/>
      <c r="AT526" s="61"/>
      <c r="AU526" s="61"/>
      <c r="AV526" s="61"/>
      <c r="AW526" s="61"/>
      <c r="AX526" s="61"/>
      <c r="AY526" s="61"/>
      <c r="AZ526" s="61"/>
      <c r="BA526" s="61"/>
      <c r="BB526" s="61"/>
      <c r="BC526" s="61"/>
      <c r="BD526" s="61"/>
      <c r="BE526" s="61"/>
      <c r="BF526" s="61"/>
      <c r="BG526" s="61"/>
      <c r="BH526" s="61"/>
      <c r="BI526" s="6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  <c r="BV526" s="61"/>
      <c r="BW526" s="61"/>
      <c r="BX526" s="61"/>
      <c r="BY526" s="61"/>
    </row>
    <row r="527" spans="1:77">
      <c r="A527" s="10"/>
      <c r="B527" s="10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AS527" s="61"/>
      <c r="AT527" s="61"/>
      <c r="AU527" s="61"/>
      <c r="AV527" s="61"/>
      <c r="AW527" s="61"/>
      <c r="AX527" s="61"/>
      <c r="AY527" s="61"/>
      <c r="AZ527" s="61"/>
      <c r="BA527" s="61"/>
      <c r="BB527" s="61"/>
      <c r="BC527" s="61"/>
      <c r="BD527" s="61"/>
      <c r="BE527" s="61"/>
      <c r="BF527" s="61"/>
      <c r="BG527" s="61"/>
      <c r="BH527" s="61"/>
      <c r="BI527" s="6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  <c r="BV527" s="61"/>
      <c r="BW527" s="61"/>
      <c r="BX527" s="61"/>
      <c r="BY527" s="61"/>
    </row>
    <row r="528" spans="1:77">
      <c r="A528" s="10"/>
      <c r="B528" s="10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AS528" s="61"/>
      <c r="AT528" s="61"/>
      <c r="AU528" s="61"/>
      <c r="AV528" s="61"/>
      <c r="AW528" s="61"/>
      <c r="AX528" s="61"/>
      <c r="AY528" s="61"/>
      <c r="AZ528" s="61"/>
      <c r="BA528" s="61"/>
      <c r="BB528" s="61"/>
      <c r="BC528" s="61"/>
      <c r="BD528" s="61"/>
      <c r="BE528" s="61"/>
      <c r="BF528" s="61"/>
      <c r="BG528" s="61"/>
      <c r="BH528" s="61"/>
      <c r="BI528" s="6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  <c r="BV528" s="61"/>
      <c r="BW528" s="61"/>
      <c r="BX528" s="61"/>
      <c r="BY528" s="61"/>
    </row>
    <row r="529" spans="1:77">
      <c r="A529" s="10"/>
      <c r="B529" s="10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AS529" s="61"/>
      <c r="AT529" s="61"/>
      <c r="AU529" s="61"/>
      <c r="AV529" s="61"/>
      <c r="AW529" s="61"/>
      <c r="AX529" s="61"/>
      <c r="AY529" s="61"/>
      <c r="AZ529" s="61"/>
      <c r="BA529" s="61"/>
      <c r="BB529" s="61"/>
      <c r="BC529" s="61"/>
      <c r="BD529" s="61"/>
      <c r="BE529" s="61"/>
      <c r="BF529" s="61"/>
      <c r="BG529" s="61"/>
      <c r="BH529" s="61"/>
      <c r="BI529" s="6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  <c r="BV529" s="61"/>
      <c r="BW529" s="61"/>
      <c r="BX529" s="61"/>
      <c r="BY529" s="61"/>
    </row>
    <row r="530" spans="1:77">
      <c r="A530" s="10"/>
      <c r="B530" s="10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AS530" s="61"/>
      <c r="AT530" s="61"/>
      <c r="AU530" s="61"/>
      <c r="AV530" s="61"/>
      <c r="AW530" s="61"/>
      <c r="AX530" s="61"/>
      <c r="AY530" s="61"/>
      <c r="AZ530" s="61"/>
      <c r="BA530" s="61"/>
      <c r="BB530" s="61"/>
      <c r="BC530" s="61"/>
      <c r="BD530" s="61"/>
      <c r="BE530" s="61"/>
      <c r="BF530" s="61"/>
      <c r="BG530" s="61"/>
      <c r="BH530" s="61"/>
      <c r="BI530" s="6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  <c r="BV530" s="61"/>
      <c r="BW530" s="61"/>
      <c r="BX530" s="61"/>
      <c r="BY530" s="61"/>
    </row>
    <row r="531" spans="1:77">
      <c r="A531" s="10"/>
      <c r="B531" s="10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AS531" s="61"/>
      <c r="AT531" s="61"/>
      <c r="AU531" s="61"/>
      <c r="AV531" s="61"/>
      <c r="AW531" s="61"/>
      <c r="AX531" s="61"/>
      <c r="AY531" s="61"/>
      <c r="AZ531" s="61"/>
      <c r="BA531" s="61"/>
      <c r="BB531" s="61"/>
      <c r="BC531" s="61"/>
      <c r="BD531" s="61"/>
      <c r="BE531" s="61"/>
      <c r="BF531" s="61"/>
      <c r="BG531" s="61"/>
      <c r="BH531" s="61"/>
      <c r="BI531" s="6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  <c r="BV531" s="61"/>
      <c r="BW531" s="61"/>
      <c r="BX531" s="61"/>
      <c r="BY531" s="61"/>
    </row>
    <row r="532" spans="1:77">
      <c r="A532" s="10"/>
      <c r="B532" s="1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AS532" s="61"/>
      <c r="AT532" s="61"/>
      <c r="AU532" s="61"/>
      <c r="AV532" s="61"/>
      <c r="AW532" s="61"/>
      <c r="AX532" s="61"/>
      <c r="AY532" s="61"/>
      <c r="AZ532" s="61"/>
      <c r="BA532" s="61"/>
      <c r="BB532" s="61"/>
      <c r="BC532" s="61"/>
      <c r="BD532" s="61"/>
      <c r="BE532" s="61"/>
      <c r="BF532" s="61"/>
      <c r="BG532" s="61"/>
      <c r="BH532" s="61"/>
      <c r="BI532" s="6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  <c r="BV532" s="61"/>
      <c r="BW532" s="61"/>
      <c r="BX532" s="61"/>
      <c r="BY532" s="61"/>
    </row>
    <row r="533" spans="1:77">
      <c r="A533" s="10"/>
      <c r="B533" s="10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AS533" s="61"/>
      <c r="AT533" s="61"/>
      <c r="AU533" s="61"/>
      <c r="AV533" s="61"/>
      <c r="AW533" s="61"/>
      <c r="AX533" s="61"/>
      <c r="AY533" s="61"/>
      <c r="AZ533" s="61"/>
      <c r="BA533" s="61"/>
      <c r="BB533" s="61"/>
      <c r="BC533" s="61"/>
      <c r="BD533" s="61"/>
      <c r="BE533" s="61"/>
      <c r="BF533" s="61"/>
      <c r="BG533" s="61"/>
      <c r="BH533" s="61"/>
      <c r="BI533" s="6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  <c r="BV533" s="61"/>
      <c r="BW533" s="61"/>
      <c r="BX533" s="61"/>
      <c r="BY533" s="61"/>
    </row>
    <row r="534" spans="1:77">
      <c r="A534" s="10"/>
      <c r="B534" s="10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AS534" s="61"/>
      <c r="AT534" s="61"/>
      <c r="AU534" s="61"/>
      <c r="AV534" s="61"/>
      <c r="AW534" s="61"/>
      <c r="AX534" s="61"/>
      <c r="AY534" s="61"/>
      <c r="AZ534" s="61"/>
      <c r="BA534" s="61"/>
      <c r="BB534" s="61"/>
      <c r="BC534" s="61"/>
      <c r="BD534" s="61"/>
      <c r="BE534" s="61"/>
      <c r="BF534" s="61"/>
      <c r="BG534" s="61"/>
      <c r="BH534" s="61"/>
      <c r="BI534" s="6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  <c r="BV534" s="61"/>
      <c r="BW534" s="61"/>
      <c r="BX534" s="61"/>
      <c r="BY534" s="61"/>
    </row>
    <row r="535" spans="1:77">
      <c r="A535" s="10"/>
      <c r="B535" s="10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AS535" s="61"/>
      <c r="AT535" s="61"/>
      <c r="AU535" s="61"/>
      <c r="AV535" s="61"/>
      <c r="AW535" s="61"/>
      <c r="AX535" s="61"/>
      <c r="AY535" s="61"/>
      <c r="AZ535" s="61"/>
      <c r="BA535" s="61"/>
      <c r="BB535" s="61"/>
      <c r="BC535" s="61"/>
      <c r="BD535" s="61"/>
      <c r="BE535" s="61"/>
      <c r="BF535" s="61"/>
      <c r="BG535" s="61"/>
      <c r="BH535" s="61"/>
      <c r="BI535" s="6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  <c r="BV535" s="61"/>
      <c r="BW535" s="61"/>
      <c r="BX535" s="61"/>
      <c r="BY535" s="61"/>
    </row>
    <row r="536" spans="1:77">
      <c r="A536" s="10"/>
      <c r="B536" s="10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AS536" s="61"/>
      <c r="AT536" s="61"/>
      <c r="AU536" s="61"/>
      <c r="AV536" s="61"/>
      <c r="AW536" s="61"/>
      <c r="AX536" s="61"/>
      <c r="AY536" s="61"/>
      <c r="AZ536" s="61"/>
      <c r="BA536" s="61"/>
      <c r="BB536" s="61"/>
      <c r="BC536" s="61"/>
      <c r="BD536" s="61"/>
      <c r="BE536" s="61"/>
      <c r="BF536" s="61"/>
      <c r="BG536" s="61"/>
      <c r="BH536" s="61"/>
      <c r="BI536" s="6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  <c r="BV536" s="61"/>
      <c r="BW536" s="61"/>
      <c r="BX536" s="61"/>
      <c r="BY536" s="61"/>
    </row>
    <row r="537" spans="1:77">
      <c r="A537" s="10"/>
      <c r="B537" s="10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AS537" s="61"/>
      <c r="AT537" s="61"/>
      <c r="AU537" s="61"/>
      <c r="AV537" s="61"/>
      <c r="AW537" s="61"/>
      <c r="AX537" s="61"/>
      <c r="AY537" s="61"/>
      <c r="AZ537" s="61"/>
      <c r="BA537" s="61"/>
      <c r="BB537" s="61"/>
      <c r="BC537" s="61"/>
      <c r="BD537" s="61"/>
      <c r="BE537" s="61"/>
      <c r="BF537" s="61"/>
      <c r="BG537" s="61"/>
      <c r="BH537" s="61"/>
      <c r="BI537" s="6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  <c r="BV537" s="61"/>
      <c r="BW537" s="61"/>
      <c r="BX537" s="61"/>
      <c r="BY537" s="61"/>
    </row>
    <row r="538" spans="1:77">
      <c r="A538" s="10"/>
      <c r="B538" s="10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AS538" s="61"/>
      <c r="AT538" s="61"/>
      <c r="AU538" s="61"/>
      <c r="AV538" s="61"/>
      <c r="AW538" s="61"/>
      <c r="AX538" s="61"/>
      <c r="AY538" s="61"/>
      <c r="AZ538" s="61"/>
      <c r="BA538" s="61"/>
      <c r="BB538" s="61"/>
      <c r="BC538" s="61"/>
      <c r="BD538" s="61"/>
      <c r="BE538" s="61"/>
      <c r="BF538" s="61"/>
      <c r="BG538" s="61"/>
      <c r="BH538" s="61"/>
      <c r="BI538" s="6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  <c r="BV538" s="61"/>
      <c r="BW538" s="61"/>
      <c r="BX538" s="61"/>
      <c r="BY538" s="61"/>
    </row>
    <row r="539" spans="1:77">
      <c r="A539" s="10"/>
      <c r="B539" s="10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AS539" s="61"/>
      <c r="AT539" s="61"/>
      <c r="AU539" s="61"/>
      <c r="AV539" s="61"/>
      <c r="AW539" s="61"/>
      <c r="AX539" s="61"/>
      <c r="AY539" s="61"/>
      <c r="AZ539" s="61"/>
      <c r="BA539" s="61"/>
      <c r="BB539" s="61"/>
      <c r="BC539" s="61"/>
      <c r="BD539" s="61"/>
      <c r="BE539" s="61"/>
      <c r="BF539" s="61"/>
      <c r="BG539" s="61"/>
      <c r="BH539" s="61"/>
      <c r="BI539" s="6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  <c r="BV539" s="61"/>
      <c r="BW539" s="61"/>
      <c r="BX539" s="61"/>
      <c r="BY539" s="61"/>
    </row>
    <row r="540" spans="1:77">
      <c r="A540" s="10"/>
      <c r="B540" s="10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AS540" s="61"/>
      <c r="AT540" s="61"/>
      <c r="AU540" s="61"/>
      <c r="AV540" s="61"/>
      <c r="AW540" s="61"/>
      <c r="AX540" s="61"/>
      <c r="AY540" s="61"/>
      <c r="AZ540" s="61"/>
      <c r="BA540" s="61"/>
      <c r="BB540" s="61"/>
      <c r="BC540" s="61"/>
      <c r="BD540" s="61"/>
      <c r="BE540" s="61"/>
      <c r="BF540" s="61"/>
      <c r="BG540" s="61"/>
      <c r="BH540" s="61"/>
      <c r="BI540" s="6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  <c r="BV540" s="61"/>
      <c r="BW540" s="61"/>
      <c r="BX540" s="61"/>
      <c r="BY540" s="61"/>
    </row>
    <row r="541" spans="1:77">
      <c r="A541" s="10"/>
      <c r="B541" s="10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AS541" s="61"/>
      <c r="AT541" s="61"/>
      <c r="AU541" s="61"/>
      <c r="AV541" s="61"/>
      <c r="AW541" s="61"/>
      <c r="AX541" s="61"/>
      <c r="AY541" s="61"/>
      <c r="AZ541" s="61"/>
      <c r="BA541" s="61"/>
      <c r="BB541" s="61"/>
      <c r="BC541" s="61"/>
      <c r="BD541" s="61"/>
      <c r="BE541" s="61"/>
      <c r="BF541" s="61"/>
      <c r="BG541" s="61"/>
      <c r="BH541" s="61"/>
      <c r="BI541" s="6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  <c r="BV541" s="61"/>
      <c r="BW541" s="61"/>
      <c r="BX541" s="61"/>
      <c r="BY541" s="61"/>
    </row>
    <row r="542" spans="1:77">
      <c r="A542" s="10"/>
      <c r="B542" s="10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AS542" s="61"/>
      <c r="AT542" s="61"/>
      <c r="AU542" s="61"/>
      <c r="AV542" s="61"/>
      <c r="AW542" s="61"/>
      <c r="AX542" s="61"/>
      <c r="AY542" s="61"/>
      <c r="AZ542" s="61"/>
      <c r="BA542" s="61"/>
      <c r="BB542" s="61"/>
      <c r="BC542" s="61"/>
      <c r="BD542" s="61"/>
      <c r="BE542" s="61"/>
      <c r="BF542" s="61"/>
      <c r="BG542" s="61"/>
      <c r="BH542" s="61"/>
      <c r="BI542" s="6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  <c r="BV542" s="61"/>
      <c r="BW542" s="61"/>
      <c r="BX542" s="61"/>
      <c r="BY542" s="61"/>
    </row>
    <row r="543" spans="1:77">
      <c r="A543" s="10"/>
      <c r="B543" s="10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AS543" s="61"/>
      <c r="AT543" s="61"/>
      <c r="AU543" s="61"/>
      <c r="AV543" s="61"/>
      <c r="AW543" s="61"/>
      <c r="AX543" s="61"/>
      <c r="AY543" s="61"/>
      <c r="AZ543" s="61"/>
      <c r="BA543" s="61"/>
      <c r="BB543" s="61"/>
      <c r="BC543" s="61"/>
      <c r="BD543" s="61"/>
      <c r="BE543" s="61"/>
      <c r="BF543" s="61"/>
      <c r="BG543" s="61"/>
      <c r="BH543" s="61"/>
      <c r="BI543" s="6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  <c r="BV543" s="61"/>
      <c r="BW543" s="61"/>
      <c r="BX543" s="61"/>
      <c r="BY543" s="61"/>
    </row>
    <row r="544" spans="1:77">
      <c r="A544" s="10"/>
      <c r="B544" s="10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AS544" s="61"/>
      <c r="AT544" s="61"/>
      <c r="AU544" s="61"/>
      <c r="AV544" s="61"/>
      <c r="AW544" s="61"/>
      <c r="AX544" s="61"/>
      <c r="AY544" s="61"/>
      <c r="AZ544" s="61"/>
      <c r="BA544" s="61"/>
      <c r="BB544" s="61"/>
      <c r="BC544" s="61"/>
      <c r="BD544" s="61"/>
      <c r="BE544" s="61"/>
      <c r="BF544" s="61"/>
      <c r="BG544" s="61"/>
      <c r="BH544" s="61"/>
      <c r="BI544" s="6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  <c r="BV544" s="61"/>
      <c r="BW544" s="61"/>
      <c r="BX544" s="61"/>
      <c r="BY544" s="61"/>
    </row>
    <row r="545" spans="1:77">
      <c r="A545" s="10"/>
      <c r="B545" s="10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AS545" s="61"/>
      <c r="AT545" s="61"/>
      <c r="AU545" s="61"/>
      <c r="AV545" s="61"/>
      <c r="AW545" s="61"/>
      <c r="AX545" s="61"/>
      <c r="AY545" s="61"/>
      <c r="AZ545" s="61"/>
      <c r="BA545" s="61"/>
      <c r="BB545" s="61"/>
      <c r="BC545" s="61"/>
      <c r="BD545" s="61"/>
      <c r="BE545" s="61"/>
      <c r="BF545" s="61"/>
      <c r="BG545" s="61"/>
      <c r="BH545" s="61"/>
      <c r="BI545" s="6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  <c r="BV545" s="61"/>
      <c r="BW545" s="61"/>
      <c r="BX545" s="61"/>
      <c r="BY545" s="61"/>
    </row>
    <row r="546" spans="1:77">
      <c r="A546" s="10"/>
      <c r="B546" s="10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AS546" s="61"/>
      <c r="AT546" s="61"/>
      <c r="AU546" s="61"/>
      <c r="AV546" s="61"/>
      <c r="AW546" s="61"/>
      <c r="AX546" s="61"/>
      <c r="AY546" s="61"/>
      <c r="AZ546" s="61"/>
      <c r="BA546" s="61"/>
      <c r="BB546" s="61"/>
      <c r="BC546" s="61"/>
      <c r="BD546" s="61"/>
      <c r="BE546" s="61"/>
      <c r="BF546" s="61"/>
      <c r="BG546" s="61"/>
      <c r="BH546" s="61"/>
      <c r="BI546" s="6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  <c r="BV546" s="61"/>
      <c r="BW546" s="61"/>
      <c r="BX546" s="61"/>
      <c r="BY546" s="61"/>
    </row>
    <row r="547" spans="1:77">
      <c r="A547" s="10"/>
      <c r="B547" s="10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AS547" s="61"/>
      <c r="AT547" s="61"/>
      <c r="AU547" s="61"/>
      <c r="AV547" s="61"/>
      <c r="AW547" s="61"/>
      <c r="AX547" s="61"/>
      <c r="AY547" s="61"/>
      <c r="AZ547" s="61"/>
      <c r="BA547" s="61"/>
      <c r="BB547" s="61"/>
      <c r="BC547" s="61"/>
      <c r="BD547" s="61"/>
      <c r="BE547" s="61"/>
      <c r="BF547" s="61"/>
      <c r="BG547" s="61"/>
      <c r="BH547" s="61"/>
      <c r="BI547" s="6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  <c r="BV547" s="61"/>
      <c r="BW547" s="61"/>
      <c r="BX547" s="61"/>
      <c r="BY547" s="61"/>
    </row>
    <row r="548" spans="1:77">
      <c r="A548" s="10"/>
      <c r="B548" s="10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AS548" s="61"/>
      <c r="AT548" s="61"/>
      <c r="AU548" s="61"/>
      <c r="AV548" s="61"/>
      <c r="AW548" s="61"/>
      <c r="AX548" s="61"/>
      <c r="AY548" s="61"/>
      <c r="AZ548" s="61"/>
      <c r="BA548" s="61"/>
      <c r="BB548" s="61"/>
      <c r="BC548" s="61"/>
      <c r="BD548" s="61"/>
      <c r="BE548" s="61"/>
      <c r="BF548" s="61"/>
      <c r="BG548" s="61"/>
      <c r="BH548" s="61"/>
      <c r="BI548" s="6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  <c r="BV548" s="61"/>
      <c r="BW548" s="61"/>
      <c r="BX548" s="61"/>
      <c r="BY548" s="61"/>
    </row>
    <row r="549" spans="1:77">
      <c r="A549" s="10"/>
      <c r="B549" s="10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AS549" s="61"/>
      <c r="AT549" s="61"/>
      <c r="AU549" s="61"/>
      <c r="AV549" s="61"/>
      <c r="AW549" s="61"/>
      <c r="AX549" s="61"/>
      <c r="AY549" s="61"/>
      <c r="AZ549" s="61"/>
      <c r="BA549" s="61"/>
      <c r="BB549" s="61"/>
      <c r="BC549" s="61"/>
      <c r="BD549" s="61"/>
      <c r="BE549" s="61"/>
      <c r="BF549" s="61"/>
      <c r="BG549" s="61"/>
      <c r="BH549" s="61"/>
      <c r="BI549" s="6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  <c r="BV549" s="61"/>
      <c r="BW549" s="61"/>
      <c r="BX549" s="61"/>
      <c r="BY549" s="61"/>
    </row>
    <row r="550" spans="1:77">
      <c r="A550" s="10"/>
      <c r="B550" s="10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AS550" s="61"/>
      <c r="AT550" s="61"/>
      <c r="AU550" s="61"/>
      <c r="AV550" s="61"/>
      <c r="AW550" s="61"/>
      <c r="AX550" s="61"/>
      <c r="AY550" s="61"/>
      <c r="AZ550" s="61"/>
      <c r="BA550" s="61"/>
      <c r="BB550" s="61"/>
      <c r="BC550" s="61"/>
      <c r="BD550" s="61"/>
      <c r="BE550" s="61"/>
      <c r="BF550" s="61"/>
      <c r="BG550" s="61"/>
      <c r="BH550" s="61"/>
      <c r="BI550" s="6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  <c r="BV550" s="61"/>
      <c r="BW550" s="61"/>
      <c r="BX550" s="61"/>
      <c r="BY550" s="61"/>
    </row>
    <row r="551" spans="1:77">
      <c r="A551" s="10"/>
      <c r="B551" s="10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AS551" s="61"/>
      <c r="AT551" s="61"/>
      <c r="AU551" s="61"/>
      <c r="AV551" s="61"/>
      <c r="AW551" s="61"/>
      <c r="AX551" s="61"/>
      <c r="AY551" s="61"/>
      <c r="AZ551" s="61"/>
      <c r="BA551" s="61"/>
      <c r="BB551" s="61"/>
      <c r="BC551" s="61"/>
      <c r="BD551" s="61"/>
      <c r="BE551" s="61"/>
      <c r="BF551" s="61"/>
      <c r="BG551" s="61"/>
      <c r="BH551" s="61"/>
      <c r="BI551" s="6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  <c r="BV551" s="61"/>
      <c r="BW551" s="61"/>
      <c r="BX551" s="61"/>
      <c r="BY551" s="61"/>
    </row>
    <row r="552" spans="1:77">
      <c r="A552" s="10"/>
      <c r="B552" s="10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AS552" s="61"/>
      <c r="AT552" s="61"/>
      <c r="AU552" s="61"/>
      <c r="AV552" s="61"/>
      <c r="AW552" s="61"/>
      <c r="AX552" s="61"/>
      <c r="AY552" s="61"/>
      <c r="AZ552" s="61"/>
      <c r="BA552" s="61"/>
      <c r="BB552" s="61"/>
      <c r="BC552" s="61"/>
      <c r="BD552" s="61"/>
      <c r="BE552" s="61"/>
      <c r="BF552" s="61"/>
      <c r="BG552" s="61"/>
      <c r="BH552" s="61"/>
      <c r="BI552" s="6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  <c r="BV552" s="61"/>
      <c r="BW552" s="61"/>
      <c r="BX552" s="61"/>
      <c r="BY552" s="61"/>
    </row>
    <row r="553" spans="1:77">
      <c r="A553" s="10"/>
      <c r="B553" s="10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AS553" s="61"/>
      <c r="AT553" s="61"/>
      <c r="AU553" s="61"/>
      <c r="AV553" s="61"/>
      <c r="AW553" s="61"/>
      <c r="AX553" s="61"/>
      <c r="AY553" s="61"/>
      <c r="AZ553" s="61"/>
      <c r="BA553" s="61"/>
      <c r="BB553" s="61"/>
      <c r="BC553" s="61"/>
      <c r="BD553" s="61"/>
      <c r="BE553" s="61"/>
      <c r="BF553" s="61"/>
      <c r="BG553" s="61"/>
      <c r="BH553" s="61"/>
      <c r="BI553" s="6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  <c r="BV553" s="61"/>
      <c r="BW553" s="61"/>
      <c r="BX553" s="61"/>
      <c r="BY553" s="61"/>
    </row>
    <row r="554" spans="1:77">
      <c r="A554" s="10"/>
      <c r="B554" s="10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AS554" s="61"/>
      <c r="AT554" s="61"/>
      <c r="AU554" s="61"/>
      <c r="AV554" s="61"/>
      <c r="AW554" s="61"/>
      <c r="AX554" s="61"/>
      <c r="AY554" s="61"/>
      <c r="AZ554" s="61"/>
      <c r="BA554" s="61"/>
      <c r="BB554" s="61"/>
      <c r="BC554" s="61"/>
      <c r="BD554" s="61"/>
      <c r="BE554" s="61"/>
      <c r="BF554" s="61"/>
      <c r="BG554" s="61"/>
      <c r="BH554" s="61"/>
      <c r="BI554" s="6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  <c r="BV554" s="61"/>
      <c r="BW554" s="61"/>
      <c r="BX554" s="61"/>
      <c r="BY554" s="61"/>
    </row>
    <row r="555" spans="1:77">
      <c r="A555" s="10"/>
      <c r="B555" s="10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AS555" s="61"/>
      <c r="AT555" s="61"/>
      <c r="AU555" s="61"/>
      <c r="AV555" s="61"/>
      <c r="AW555" s="61"/>
      <c r="AX555" s="61"/>
      <c r="AY555" s="61"/>
      <c r="AZ555" s="61"/>
      <c r="BA555" s="61"/>
      <c r="BB555" s="61"/>
      <c r="BC555" s="61"/>
      <c r="BD555" s="61"/>
      <c r="BE555" s="61"/>
      <c r="BF555" s="61"/>
      <c r="BG555" s="61"/>
      <c r="BH555" s="61"/>
      <c r="BI555" s="6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  <c r="BV555" s="61"/>
      <c r="BW555" s="61"/>
      <c r="BX555" s="61"/>
      <c r="BY555" s="61"/>
    </row>
    <row r="556" spans="1:77">
      <c r="A556" s="10"/>
      <c r="B556" s="10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AS556" s="61"/>
      <c r="AT556" s="61"/>
      <c r="AU556" s="61"/>
      <c r="AV556" s="61"/>
      <c r="AW556" s="61"/>
      <c r="AX556" s="61"/>
      <c r="AY556" s="61"/>
      <c r="AZ556" s="61"/>
      <c r="BA556" s="61"/>
      <c r="BB556" s="61"/>
      <c r="BC556" s="61"/>
      <c r="BD556" s="61"/>
      <c r="BE556" s="61"/>
      <c r="BF556" s="61"/>
      <c r="BG556" s="61"/>
      <c r="BH556" s="61"/>
      <c r="BI556" s="6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  <c r="BV556" s="61"/>
      <c r="BW556" s="61"/>
      <c r="BX556" s="61"/>
      <c r="BY556" s="61"/>
    </row>
    <row r="557" spans="1:77">
      <c r="A557" s="10"/>
      <c r="B557" s="10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AS557" s="61"/>
      <c r="AT557" s="61"/>
      <c r="AU557" s="61"/>
      <c r="AV557" s="61"/>
      <c r="AW557" s="61"/>
      <c r="AX557" s="61"/>
      <c r="AY557" s="61"/>
      <c r="AZ557" s="61"/>
      <c r="BA557" s="61"/>
      <c r="BB557" s="61"/>
      <c r="BC557" s="61"/>
      <c r="BD557" s="61"/>
      <c r="BE557" s="61"/>
      <c r="BF557" s="61"/>
      <c r="BG557" s="61"/>
      <c r="BH557" s="61"/>
      <c r="BI557" s="6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  <c r="BV557" s="61"/>
      <c r="BW557" s="61"/>
      <c r="BX557" s="61"/>
      <c r="BY557" s="61"/>
    </row>
    <row r="558" spans="1:77">
      <c r="A558" s="10"/>
      <c r="B558" s="10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AS558" s="61"/>
      <c r="AT558" s="61"/>
      <c r="AU558" s="61"/>
      <c r="AV558" s="61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61"/>
      <c r="BI558" s="6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  <c r="BV558" s="61"/>
      <c r="BW558" s="61"/>
      <c r="BX558" s="61"/>
      <c r="BY558" s="61"/>
    </row>
    <row r="559" spans="1:77">
      <c r="A559" s="10"/>
      <c r="B559" s="10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AS559" s="61"/>
      <c r="AT559" s="61"/>
      <c r="AU559" s="61"/>
      <c r="AV559" s="61"/>
      <c r="AW559" s="61"/>
      <c r="AX559" s="61"/>
      <c r="AY559" s="61"/>
      <c r="AZ559" s="61"/>
      <c r="BA559" s="61"/>
      <c r="BB559" s="61"/>
      <c r="BC559" s="61"/>
      <c r="BD559" s="61"/>
      <c r="BE559" s="61"/>
      <c r="BF559" s="61"/>
      <c r="BG559" s="61"/>
      <c r="BH559" s="61"/>
      <c r="BI559" s="6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  <c r="BV559" s="61"/>
      <c r="BW559" s="61"/>
      <c r="BX559" s="61"/>
      <c r="BY559" s="61"/>
    </row>
    <row r="560" spans="1:77">
      <c r="A560" s="10"/>
      <c r="B560" s="10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AS560" s="61"/>
      <c r="AT560" s="61"/>
      <c r="AU560" s="61"/>
      <c r="AV560" s="61"/>
      <c r="AW560" s="61"/>
      <c r="AX560" s="61"/>
      <c r="AY560" s="61"/>
      <c r="AZ560" s="61"/>
      <c r="BA560" s="61"/>
      <c r="BB560" s="61"/>
      <c r="BC560" s="61"/>
      <c r="BD560" s="61"/>
      <c r="BE560" s="61"/>
      <c r="BF560" s="61"/>
      <c r="BG560" s="61"/>
      <c r="BH560" s="61"/>
      <c r="BI560" s="6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  <c r="BV560" s="61"/>
      <c r="BW560" s="61"/>
      <c r="BX560" s="61"/>
      <c r="BY560" s="61"/>
    </row>
    <row r="561" spans="1:77">
      <c r="A561" s="10"/>
      <c r="B561" s="10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AS561" s="61"/>
      <c r="AT561" s="61"/>
      <c r="AU561" s="61"/>
      <c r="AV561" s="61"/>
      <c r="AW561" s="61"/>
      <c r="AX561" s="61"/>
      <c r="AY561" s="61"/>
      <c r="AZ561" s="61"/>
      <c r="BA561" s="61"/>
      <c r="BB561" s="61"/>
      <c r="BC561" s="61"/>
      <c r="BD561" s="61"/>
      <c r="BE561" s="61"/>
      <c r="BF561" s="61"/>
      <c r="BG561" s="61"/>
      <c r="BH561" s="61"/>
      <c r="BI561" s="6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  <c r="BV561" s="61"/>
      <c r="BW561" s="61"/>
      <c r="BX561" s="61"/>
      <c r="BY561" s="61"/>
    </row>
    <row r="562" spans="1:77">
      <c r="A562" s="10"/>
      <c r="B562" s="10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AS562" s="61"/>
      <c r="AT562" s="61"/>
      <c r="AU562" s="61"/>
      <c r="AV562" s="61"/>
      <c r="AW562" s="61"/>
      <c r="AX562" s="61"/>
      <c r="AY562" s="61"/>
      <c r="AZ562" s="61"/>
      <c r="BA562" s="61"/>
      <c r="BB562" s="61"/>
      <c r="BC562" s="61"/>
      <c r="BD562" s="61"/>
      <c r="BE562" s="61"/>
      <c r="BF562" s="61"/>
      <c r="BG562" s="61"/>
      <c r="BH562" s="61"/>
      <c r="BI562" s="6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  <c r="BV562" s="61"/>
      <c r="BW562" s="61"/>
      <c r="BX562" s="61"/>
      <c r="BY562" s="61"/>
    </row>
    <row r="563" spans="1:77">
      <c r="A563" s="10"/>
      <c r="B563" s="10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AS563" s="61"/>
      <c r="AT563" s="61"/>
      <c r="AU563" s="61"/>
      <c r="AV563" s="61"/>
      <c r="AW563" s="61"/>
      <c r="AX563" s="61"/>
      <c r="AY563" s="61"/>
      <c r="AZ563" s="61"/>
      <c r="BA563" s="61"/>
      <c r="BB563" s="61"/>
      <c r="BC563" s="61"/>
      <c r="BD563" s="61"/>
      <c r="BE563" s="61"/>
      <c r="BF563" s="61"/>
      <c r="BG563" s="61"/>
      <c r="BH563" s="61"/>
      <c r="BI563" s="6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  <c r="BV563" s="61"/>
      <c r="BW563" s="61"/>
      <c r="BX563" s="61"/>
      <c r="BY563" s="61"/>
    </row>
    <row r="564" spans="1:77">
      <c r="A564" s="10"/>
      <c r="B564" s="10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AS564" s="61"/>
      <c r="AT564" s="61"/>
      <c r="AU564" s="61"/>
      <c r="AV564" s="61"/>
      <c r="AW564" s="61"/>
      <c r="AX564" s="61"/>
      <c r="AY564" s="61"/>
      <c r="AZ564" s="61"/>
      <c r="BA564" s="61"/>
      <c r="BB564" s="61"/>
      <c r="BC564" s="61"/>
      <c r="BD564" s="61"/>
      <c r="BE564" s="61"/>
      <c r="BF564" s="61"/>
      <c r="BG564" s="61"/>
      <c r="BH564" s="61"/>
      <c r="BI564" s="6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  <c r="BV564" s="61"/>
      <c r="BW564" s="61"/>
      <c r="BX564" s="61"/>
      <c r="BY564" s="61"/>
    </row>
    <row r="565" spans="1:77">
      <c r="A565" s="10"/>
      <c r="B565" s="10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AS565" s="61"/>
      <c r="AT565" s="61"/>
      <c r="AU565" s="61"/>
      <c r="AV565" s="61"/>
      <c r="AW565" s="61"/>
      <c r="AX565" s="61"/>
      <c r="AY565" s="61"/>
      <c r="AZ565" s="61"/>
      <c r="BA565" s="61"/>
      <c r="BB565" s="61"/>
      <c r="BC565" s="61"/>
      <c r="BD565" s="61"/>
      <c r="BE565" s="61"/>
      <c r="BF565" s="61"/>
      <c r="BG565" s="61"/>
      <c r="BH565" s="61"/>
      <c r="BI565" s="6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  <c r="BV565" s="61"/>
      <c r="BW565" s="61"/>
      <c r="BX565" s="61"/>
      <c r="BY565" s="61"/>
    </row>
    <row r="566" spans="1:77">
      <c r="A566" s="10"/>
      <c r="B566" s="10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AS566" s="61"/>
      <c r="AT566" s="61"/>
      <c r="AU566" s="61"/>
      <c r="AV566" s="61"/>
      <c r="AW566" s="61"/>
      <c r="AX566" s="61"/>
      <c r="AY566" s="61"/>
      <c r="AZ566" s="61"/>
      <c r="BA566" s="61"/>
      <c r="BB566" s="61"/>
      <c r="BC566" s="61"/>
      <c r="BD566" s="61"/>
      <c r="BE566" s="61"/>
      <c r="BF566" s="61"/>
      <c r="BG566" s="61"/>
      <c r="BH566" s="61"/>
      <c r="BI566" s="6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  <c r="BV566" s="61"/>
      <c r="BW566" s="61"/>
      <c r="BX566" s="61"/>
      <c r="BY566" s="61"/>
    </row>
    <row r="567" spans="1:77">
      <c r="A567" s="10"/>
      <c r="B567" s="10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AS567" s="61"/>
      <c r="AT567" s="61"/>
      <c r="AU567" s="61"/>
      <c r="AV567" s="61"/>
      <c r="AW567" s="61"/>
      <c r="AX567" s="61"/>
      <c r="AY567" s="61"/>
      <c r="AZ567" s="61"/>
      <c r="BA567" s="61"/>
      <c r="BB567" s="61"/>
      <c r="BC567" s="61"/>
      <c r="BD567" s="61"/>
      <c r="BE567" s="61"/>
      <c r="BF567" s="61"/>
      <c r="BG567" s="61"/>
      <c r="BH567" s="61"/>
      <c r="BI567" s="6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  <c r="BV567" s="61"/>
      <c r="BW567" s="61"/>
      <c r="BX567" s="61"/>
      <c r="BY567" s="61"/>
    </row>
    <row r="568" spans="1:77">
      <c r="A568" s="10"/>
      <c r="B568" s="10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AS568" s="61"/>
      <c r="AT568" s="61"/>
      <c r="AU568" s="61"/>
      <c r="AV568" s="61"/>
      <c r="AW568" s="61"/>
      <c r="AX568" s="61"/>
      <c r="AY568" s="61"/>
      <c r="AZ568" s="61"/>
      <c r="BA568" s="61"/>
      <c r="BB568" s="61"/>
      <c r="BC568" s="61"/>
      <c r="BD568" s="61"/>
      <c r="BE568" s="61"/>
      <c r="BF568" s="61"/>
      <c r="BG568" s="61"/>
      <c r="BH568" s="61"/>
      <c r="BI568" s="6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  <c r="BV568" s="61"/>
      <c r="BW568" s="61"/>
      <c r="BX568" s="61"/>
      <c r="BY568" s="61"/>
    </row>
    <row r="569" spans="1:77">
      <c r="A569" s="10"/>
      <c r="B569" s="10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AS569" s="61"/>
      <c r="AT569" s="61"/>
      <c r="AU569" s="61"/>
      <c r="AV569" s="61"/>
      <c r="AW569" s="61"/>
      <c r="AX569" s="61"/>
      <c r="AY569" s="61"/>
      <c r="AZ569" s="61"/>
      <c r="BA569" s="61"/>
      <c r="BB569" s="61"/>
      <c r="BC569" s="61"/>
      <c r="BD569" s="61"/>
      <c r="BE569" s="61"/>
      <c r="BF569" s="61"/>
      <c r="BG569" s="61"/>
      <c r="BH569" s="61"/>
      <c r="BI569" s="6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  <c r="BV569" s="61"/>
      <c r="BW569" s="61"/>
      <c r="BX569" s="61"/>
      <c r="BY569" s="61"/>
    </row>
    <row r="570" spans="1:77">
      <c r="A570" s="10"/>
      <c r="B570" s="1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AS570" s="61"/>
      <c r="AT570" s="61"/>
      <c r="AU570" s="61"/>
      <c r="AV570" s="61"/>
      <c r="AW570" s="61"/>
      <c r="AX570" s="61"/>
      <c r="AY570" s="61"/>
      <c r="AZ570" s="61"/>
      <c r="BA570" s="61"/>
      <c r="BB570" s="61"/>
      <c r="BC570" s="61"/>
      <c r="BD570" s="61"/>
      <c r="BE570" s="61"/>
      <c r="BF570" s="61"/>
      <c r="BG570" s="61"/>
      <c r="BH570" s="61"/>
      <c r="BI570" s="6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  <c r="BV570" s="61"/>
      <c r="BW570" s="61"/>
      <c r="BX570" s="61"/>
      <c r="BY570" s="61"/>
    </row>
    <row r="571" spans="1:77">
      <c r="A571" s="10"/>
      <c r="B571" s="10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AS571" s="61"/>
      <c r="AT571" s="61"/>
      <c r="AU571" s="61"/>
      <c r="AV571" s="61"/>
      <c r="AW571" s="61"/>
      <c r="AX571" s="61"/>
      <c r="AY571" s="61"/>
      <c r="AZ571" s="61"/>
      <c r="BA571" s="61"/>
      <c r="BB571" s="61"/>
      <c r="BC571" s="61"/>
      <c r="BD571" s="61"/>
      <c r="BE571" s="61"/>
      <c r="BF571" s="61"/>
      <c r="BG571" s="61"/>
      <c r="BH571" s="61"/>
      <c r="BI571" s="6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  <c r="BV571" s="61"/>
      <c r="BW571" s="61"/>
      <c r="BX571" s="61"/>
      <c r="BY571" s="61"/>
    </row>
    <row r="572" spans="1:77">
      <c r="A572" s="10"/>
      <c r="B572" s="10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AS572" s="61"/>
      <c r="AT572" s="61"/>
      <c r="AU572" s="61"/>
      <c r="AV572" s="61"/>
      <c r="AW572" s="61"/>
      <c r="AX572" s="61"/>
      <c r="AY572" s="61"/>
      <c r="AZ572" s="61"/>
      <c r="BA572" s="61"/>
      <c r="BB572" s="61"/>
      <c r="BC572" s="61"/>
      <c r="BD572" s="61"/>
      <c r="BE572" s="61"/>
      <c r="BF572" s="61"/>
      <c r="BG572" s="61"/>
      <c r="BH572" s="61"/>
      <c r="BI572" s="6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  <c r="BV572" s="61"/>
      <c r="BW572" s="61"/>
      <c r="BX572" s="61"/>
      <c r="BY572" s="61"/>
    </row>
    <row r="573" spans="1:77">
      <c r="A573" s="10"/>
      <c r="B573" s="10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AS573" s="61"/>
      <c r="AT573" s="61"/>
      <c r="AU573" s="61"/>
      <c r="AV573" s="61"/>
      <c r="AW573" s="61"/>
      <c r="AX573" s="61"/>
      <c r="AY573" s="61"/>
      <c r="AZ573" s="61"/>
      <c r="BA573" s="61"/>
      <c r="BB573" s="61"/>
      <c r="BC573" s="61"/>
      <c r="BD573" s="61"/>
      <c r="BE573" s="61"/>
      <c r="BF573" s="61"/>
      <c r="BG573" s="61"/>
      <c r="BH573" s="61"/>
      <c r="BI573" s="6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  <c r="BV573" s="61"/>
      <c r="BW573" s="61"/>
      <c r="BX573" s="61"/>
      <c r="BY573" s="61"/>
    </row>
    <row r="574" spans="1:77">
      <c r="A574" s="10"/>
      <c r="B574" s="10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AS574" s="61"/>
      <c r="AT574" s="61"/>
      <c r="AU574" s="61"/>
      <c r="AV574" s="61"/>
      <c r="AW574" s="61"/>
      <c r="AX574" s="61"/>
      <c r="AY574" s="61"/>
      <c r="AZ574" s="61"/>
      <c r="BA574" s="61"/>
      <c r="BB574" s="61"/>
      <c r="BC574" s="61"/>
      <c r="BD574" s="61"/>
      <c r="BE574" s="61"/>
      <c r="BF574" s="61"/>
      <c r="BG574" s="61"/>
      <c r="BH574" s="61"/>
      <c r="BI574" s="6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  <c r="BV574" s="61"/>
      <c r="BW574" s="61"/>
      <c r="BX574" s="61"/>
      <c r="BY574" s="61"/>
    </row>
    <row r="575" spans="1:77">
      <c r="A575" s="10"/>
      <c r="B575" s="10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AS575" s="61"/>
      <c r="AT575" s="61"/>
      <c r="AU575" s="61"/>
      <c r="AV575" s="61"/>
      <c r="AW575" s="61"/>
      <c r="AX575" s="61"/>
      <c r="AY575" s="61"/>
      <c r="AZ575" s="61"/>
      <c r="BA575" s="61"/>
      <c r="BB575" s="61"/>
      <c r="BC575" s="61"/>
      <c r="BD575" s="61"/>
      <c r="BE575" s="61"/>
      <c r="BF575" s="61"/>
      <c r="BG575" s="61"/>
      <c r="BH575" s="61"/>
      <c r="BI575" s="6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  <c r="BV575" s="61"/>
      <c r="BW575" s="61"/>
      <c r="BX575" s="61"/>
      <c r="BY575" s="61"/>
    </row>
    <row r="576" spans="1:77">
      <c r="A576" s="10"/>
      <c r="B576" s="10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AS576" s="61"/>
      <c r="AT576" s="61"/>
      <c r="AU576" s="61"/>
      <c r="AV576" s="61"/>
      <c r="AW576" s="61"/>
      <c r="AX576" s="61"/>
      <c r="AY576" s="61"/>
      <c r="AZ576" s="61"/>
      <c r="BA576" s="61"/>
      <c r="BB576" s="61"/>
      <c r="BC576" s="61"/>
      <c r="BD576" s="61"/>
      <c r="BE576" s="61"/>
      <c r="BF576" s="61"/>
      <c r="BG576" s="61"/>
      <c r="BH576" s="61"/>
      <c r="BI576" s="6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  <c r="BV576" s="61"/>
      <c r="BW576" s="61"/>
      <c r="BX576" s="61"/>
      <c r="BY576" s="61"/>
    </row>
    <row r="577" spans="1:77">
      <c r="A577" s="10"/>
      <c r="B577" s="10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AS577" s="61"/>
      <c r="AT577" s="61"/>
      <c r="AU577" s="61"/>
      <c r="AV577" s="61"/>
      <c r="AW577" s="61"/>
      <c r="AX577" s="61"/>
      <c r="AY577" s="61"/>
      <c r="AZ577" s="61"/>
      <c r="BA577" s="61"/>
      <c r="BB577" s="61"/>
      <c r="BC577" s="61"/>
      <c r="BD577" s="61"/>
      <c r="BE577" s="61"/>
      <c r="BF577" s="61"/>
      <c r="BG577" s="61"/>
      <c r="BH577" s="61"/>
      <c r="BI577" s="6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  <c r="BV577" s="61"/>
      <c r="BW577" s="61"/>
      <c r="BX577" s="61"/>
      <c r="BY577" s="61"/>
    </row>
    <row r="578" spans="1:77">
      <c r="A578" s="10"/>
      <c r="B578" s="10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AS578" s="61"/>
      <c r="AT578" s="61"/>
      <c r="AU578" s="61"/>
      <c r="AV578" s="61"/>
      <c r="AW578" s="61"/>
      <c r="AX578" s="61"/>
      <c r="AY578" s="61"/>
      <c r="AZ578" s="61"/>
      <c r="BA578" s="61"/>
      <c r="BB578" s="61"/>
      <c r="BC578" s="61"/>
      <c r="BD578" s="61"/>
      <c r="BE578" s="61"/>
      <c r="BF578" s="61"/>
      <c r="BG578" s="61"/>
      <c r="BH578" s="61"/>
      <c r="BI578" s="6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  <c r="BV578" s="61"/>
      <c r="BW578" s="61"/>
      <c r="BX578" s="61"/>
      <c r="BY578" s="61"/>
    </row>
    <row r="579" spans="1:77">
      <c r="A579" s="10"/>
      <c r="B579" s="10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AS579" s="61"/>
      <c r="AT579" s="61"/>
      <c r="AU579" s="61"/>
      <c r="AV579" s="61"/>
      <c r="AW579" s="61"/>
      <c r="AX579" s="61"/>
      <c r="AY579" s="61"/>
      <c r="AZ579" s="61"/>
      <c r="BA579" s="61"/>
      <c r="BB579" s="61"/>
      <c r="BC579" s="61"/>
      <c r="BD579" s="61"/>
      <c r="BE579" s="61"/>
      <c r="BF579" s="61"/>
      <c r="BG579" s="61"/>
      <c r="BH579" s="61"/>
      <c r="BI579" s="6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  <c r="BV579" s="61"/>
      <c r="BW579" s="61"/>
      <c r="BX579" s="61"/>
      <c r="BY579" s="61"/>
    </row>
    <row r="580" spans="1:77">
      <c r="A580" s="10"/>
      <c r="B580" s="10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AS580" s="61"/>
      <c r="AT580" s="61"/>
      <c r="AU580" s="61"/>
      <c r="AV580" s="61"/>
      <c r="AW580" s="61"/>
      <c r="AX580" s="61"/>
      <c r="AY580" s="61"/>
      <c r="AZ580" s="61"/>
      <c r="BA580" s="61"/>
      <c r="BB580" s="61"/>
      <c r="BC580" s="61"/>
      <c r="BD580" s="61"/>
      <c r="BE580" s="61"/>
      <c r="BF580" s="61"/>
      <c r="BG580" s="61"/>
      <c r="BH580" s="61"/>
      <c r="BI580" s="6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  <c r="BV580" s="61"/>
      <c r="BW580" s="61"/>
      <c r="BX580" s="61"/>
      <c r="BY580" s="61"/>
    </row>
    <row r="581" spans="1:77">
      <c r="A581" s="10"/>
      <c r="B581" s="10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AS581" s="61"/>
      <c r="AT581" s="61"/>
      <c r="AU581" s="61"/>
      <c r="AV581" s="61"/>
      <c r="AW581" s="61"/>
      <c r="AX581" s="61"/>
      <c r="AY581" s="61"/>
      <c r="AZ581" s="61"/>
      <c r="BA581" s="61"/>
      <c r="BB581" s="61"/>
      <c r="BC581" s="61"/>
      <c r="BD581" s="61"/>
      <c r="BE581" s="61"/>
      <c r="BF581" s="61"/>
      <c r="BG581" s="61"/>
      <c r="BH581" s="61"/>
      <c r="BI581" s="6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  <c r="BV581" s="61"/>
      <c r="BW581" s="61"/>
      <c r="BX581" s="61"/>
      <c r="BY581" s="61"/>
    </row>
    <row r="582" spans="1:77">
      <c r="A582" s="10"/>
      <c r="B582" s="10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AS582" s="61"/>
      <c r="AT582" s="61"/>
      <c r="AU582" s="61"/>
      <c r="AV582" s="61"/>
      <c r="AW582" s="61"/>
      <c r="AX582" s="61"/>
      <c r="AY582" s="61"/>
      <c r="AZ582" s="61"/>
      <c r="BA582" s="61"/>
      <c r="BB582" s="61"/>
      <c r="BC582" s="61"/>
      <c r="BD582" s="61"/>
      <c r="BE582" s="61"/>
      <c r="BF582" s="61"/>
      <c r="BG582" s="61"/>
      <c r="BH582" s="61"/>
      <c r="BI582" s="6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  <c r="BV582" s="61"/>
      <c r="BW582" s="61"/>
      <c r="BX582" s="61"/>
      <c r="BY582" s="61"/>
    </row>
    <row r="583" spans="1:77">
      <c r="A583" s="10"/>
      <c r="B583" s="10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AS583" s="61"/>
      <c r="AT583" s="61"/>
      <c r="AU583" s="61"/>
      <c r="AV583" s="61"/>
      <c r="AW583" s="61"/>
      <c r="AX583" s="61"/>
      <c r="AY583" s="61"/>
      <c r="AZ583" s="61"/>
      <c r="BA583" s="61"/>
      <c r="BB583" s="61"/>
      <c r="BC583" s="61"/>
      <c r="BD583" s="61"/>
      <c r="BE583" s="61"/>
      <c r="BF583" s="61"/>
      <c r="BG583" s="61"/>
      <c r="BH583" s="61"/>
      <c r="BI583" s="6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  <c r="BV583" s="61"/>
      <c r="BW583" s="61"/>
      <c r="BX583" s="61"/>
      <c r="BY583" s="61"/>
    </row>
    <row r="584" spans="1:77">
      <c r="A584" s="10"/>
      <c r="B584" s="10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AS584" s="61"/>
      <c r="AT584" s="61"/>
      <c r="AU584" s="61"/>
      <c r="AV584" s="61"/>
      <c r="AW584" s="61"/>
      <c r="AX584" s="61"/>
      <c r="AY584" s="61"/>
      <c r="AZ584" s="61"/>
      <c r="BA584" s="61"/>
      <c r="BB584" s="61"/>
      <c r="BC584" s="61"/>
      <c r="BD584" s="61"/>
      <c r="BE584" s="61"/>
      <c r="BF584" s="61"/>
      <c r="BG584" s="61"/>
      <c r="BH584" s="61"/>
      <c r="BI584" s="6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  <c r="BV584" s="61"/>
      <c r="BW584" s="61"/>
      <c r="BX584" s="61"/>
      <c r="BY584" s="61"/>
    </row>
    <row r="585" spans="1:77">
      <c r="A585" s="10"/>
      <c r="B585" s="10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AS585" s="61"/>
      <c r="AT585" s="61"/>
      <c r="AU585" s="61"/>
      <c r="AV585" s="61"/>
      <c r="AW585" s="61"/>
      <c r="AX585" s="61"/>
      <c r="AY585" s="61"/>
      <c r="AZ585" s="61"/>
      <c r="BA585" s="61"/>
      <c r="BB585" s="61"/>
      <c r="BC585" s="61"/>
      <c r="BD585" s="61"/>
      <c r="BE585" s="61"/>
      <c r="BF585" s="61"/>
      <c r="BG585" s="61"/>
      <c r="BH585" s="61"/>
      <c r="BI585" s="6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  <c r="BV585" s="61"/>
      <c r="BW585" s="61"/>
      <c r="BX585" s="61"/>
      <c r="BY585" s="61"/>
    </row>
    <row r="586" spans="1:77">
      <c r="A586" s="10"/>
      <c r="B586" s="10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AS586" s="61"/>
      <c r="AT586" s="61"/>
      <c r="AU586" s="61"/>
      <c r="AV586" s="61"/>
      <c r="AW586" s="61"/>
      <c r="AX586" s="61"/>
      <c r="AY586" s="61"/>
      <c r="AZ586" s="61"/>
      <c r="BA586" s="61"/>
      <c r="BB586" s="61"/>
      <c r="BC586" s="61"/>
      <c r="BD586" s="61"/>
      <c r="BE586" s="61"/>
      <c r="BF586" s="61"/>
      <c r="BG586" s="61"/>
      <c r="BH586" s="61"/>
      <c r="BI586" s="6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  <c r="BV586" s="61"/>
      <c r="BW586" s="61"/>
      <c r="BX586" s="61"/>
      <c r="BY586" s="61"/>
    </row>
    <row r="587" spans="1:77">
      <c r="A587" s="10"/>
      <c r="B587" s="10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AS587" s="61"/>
      <c r="AT587" s="61"/>
      <c r="AU587" s="61"/>
      <c r="AV587" s="61"/>
      <c r="AW587" s="61"/>
      <c r="AX587" s="61"/>
      <c r="AY587" s="61"/>
      <c r="AZ587" s="61"/>
      <c r="BA587" s="61"/>
      <c r="BB587" s="61"/>
      <c r="BC587" s="61"/>
      <c r="BD587" s="61"/>
      <c r="BE587" s="61"/>
      <c r="BF587" s="61"/>
      <c r="BG587" s="61"/>
      <c r="BH587" s="61"/>
      <c r="BI587" s="6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  <c r="BV587" s="61"/>
      <c r="BW587" s="61"/>
      <c r="BX587" s="61"/>
      <c r="BY587" s="61"/>
    </row>
    <row r="588" spans="1:77">
      <c r="A588" s="10"/>
      <c r="B588" s="10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AS588" s="61"/>
      <c r="AT588" s="61"/>
      <c r="AU588" s="61"/>
      <c r="AV588" s="61"/>
      <c r="AW588" s="61"/>
      <c r="AX588" s="61"/>
      <c r="AY588" s="61"/>
      <c r="AZ588" s="61"/>
      <c r="BA588" s="61"/>
      <c r="BB588" s="61"/>
      <c r="BC588" s="61"/>
      <c r="BD588" s="61"/>
      <c r="BE588" s="61"/>
      <c r="BF588" s="61"/>
      <c r="BG588" s="61"/>
      <c r="BH588" s="61"/>
      <c r="BI588" s="6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  <c r="BV588" s="61"/>
      <c r="BW588" s="61"/>
      <c r="BX588" s="61"/>
      <c r="BY588" s="61"/>
    </row>
    <row r="589" spans="1:77">
      <c r="A589" s="10"/>
      <c r="B589" s="10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AS589" s="61"/>
      <c r="AT589" s="61"/>
      <c r="AU589" s="61"/>
      <c r="AV589" s="61"/>
      <c r="AW589" s="61"/>
      <c r="AX589" s="61"/>
      <c r="AY589" s="61"/>
      <c r="AZ589" s="61"/>
      <c r="BA589" s="61"/>
      <c r="BB589" s="61"/>
      <c r="BC589" s="61"/>
      <c r="BD589" s="61"/>
      <c r="BE589" s="61"/>
      <c r="BF589" s="61"/>
      <c r="BG589" s="61"/>
      <c r="BH589" s="61"/>
      <c r="BI589" s="6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  <c r="BV589" s="61"/>
      <c r="BW589" s="61"/>
      <c r="BX589" s="61"/>
      <c r="BY589" s="61"/>
    </row>
    <row r="590" spans="1:77">
      <c r="A590" s="10"/>
      <c r="B590" s="10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AS590" s="61"/>
      <c r="AT590" s="61"/>
      <c r="AU590" s="61"/>
      <c r="AV590" s="61"/>
      <c r="AW590" s="61"/>
      <c r="AX590" s="61"/>
      <c r="AY590" s="61"/>
      <c r="AZ590" s="61"/>
      <c r="BA590" s="61"/>
      <c r="BB590" s="61"/>
      <c r="BC590" s="61"/>
      <c r="BD590" s="61"/>
      <c r="BE590" s="61"/>
      <c r="BF590" s="61"/>
      <c r="BG590" s="61"/>
      <c r="BH590" s="61"/>
      <c r="BI590" s="6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  <c r="BV590" s="61"/>
      <c r="BW590" s="61"/>
      <c r="BX590" s="61"/>
      <c r="BY590" s="61"/>
    </row>
    <row r="591" spans="1:77">
      <c r="A591" s="10"/>
      <c r="B591" s="10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AS591" s="61"/>
      <c r="AT591" s="61"/>
      <c r="AU591" s="61"/>
      <c r="AV591" s="61"/>
      <c r="AW591" s="61"/>
      <c r="AX591" s="61"/>
      <c r="AY591" s="61"/>
      <c r="AZ591" s="61"/>
      <c r="BA591" s="61"/>
      <c r="BB591" s="61"/>
      <c r="BC591" s="61"/>
      <c r="BD591" s="61"/>
      <c r="BE591" s="61"/>
      <c r="BF591" s="61"/>
      <c r="BG591" s="61"/>
      <c r="BH591" s="61"/>
      <c r="BI591" s="6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  <c r="BV591" s="61"/>
      <c r="BW591" s="61"/>
      <c r="BX591" s="61"/>
      <c r="BY591" s="61"/>
    </row>
    <row r="592" spans="1:77">
      <c r="A592" s="10"/>
      <c r="B592" s="10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AS592" s="61"/>
      <c r="AT592" s="61"/>
      <c r="AU592" s="61"/>
      <c r="AV592" s="61"/>
      <c r="AW592" s="61"/>
      <c r="AX592" s="61"/>
      <c r="AY592" s="61"/>
      <c r="AZ592" s="61"/>
      <c r="BA592" s="61"/>
      <c r="BB592" s="61"/>
      <c r="BC592" s="61"/>
      <c r="BD592" s="61"/>
      <c r="BE592" s="61"/>
      <c r="BF592" s="61"/>
      <c r="BG592" s="61"/>
      <c r="BH592" s="61"/>
      <c r="BI592" s="6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  <c r="BV592" s="61"/>
      <c r="BW592" s="61"/>
      <c r="BX592" s="61"/>
      <c r="BY592" s="61"/>
    </row>
    <row r="593" spans="1:77">
      <c r="A593" s="10"/>
      <c r="B593" s="10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AS593" s="61"/>
      <c r="AT593" s="61"/>
      <c r="AU593" s="61"/>
      <c r="AV593" s="61"/>
      <c r="AW593" s="61"/>
      <c r="AX593" s="61"/>
      <c r="AY593" s="61"/>
      <c r="AZ593" s="61"/>
      <c r="BA593" s="61"/>
      <c r="BB593" s="61"/>
      <c r="BC593" s="61"/>
      <c r="BD593" s="61"/>
      <c r="BE593" s="61"/>
      <c r="BF593" s="61"/>
      <c r="BG593" s="61"/>
      <c r="BH593" s="61"/>
      <c r="BI593" s="6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  <c r="BV593" s="61"/>
      <c r="BW593" s="61"/>
      <c r="BX593" s="61"/>
      <c r="BY593" s="61"/>
    </row>
    <row r="594" spans="1:77">
      <c r="A594" s="10"/>
      <c r="B594" s="10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AS594" s="61"/>
      <c r="AT594" s="61"/>
      <c r="AU594" s="61"/>
      <c r="AV594" s="61"/>
      <c r="AW594" s="61"/>
      <c r="AX594" s="61"/>
      <c r="AY594" s="61"/>
      <c r="AZ594" s="61"/>
      <c r="BA594" s="61"/>
      <c r="BB594" s="61"/>
      <c r="BC594" s="61"/>
      <c r="BD594" s="61"/>
      <c r="BE594" s="61"/>
      <c r="BF594" s="61"/>
      <c r="BG594" s="61"/>
      <c r="BH594" s="61"/>
      <c r="BI594" s="6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  <c r="BV594" s="61"/>
      <c r="BW594" s="61"/>
      <c r="BX594" s="61"/>
      <c r="BY594" s="61"/>
    </row>
    <row r="595" spans="1:77">
      <c r="A595" s="10"/>
      <c r="B595" s="10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AS595" s="61"/>
      <c r="AT595" s="61"/>
      <c r="AU595" s="61"/>
      <c r="AV595" s="61"/>
      <c r="AW595" s="61"/>
      <c r="AX595" s="61"/>
      <c r="AY595" s="61"/>
      <c r="AZ595" s="61"/>
      <c r="BA595" s="61"/>
      <c r="BB595" s="61"/>
      <c r="BC595" s="61"/>
      <c r="BD595" s="61"/>
      <c r="BE595" s="61"/>
      <c r="BF595" s="61"/>
      <c r="BG595" s="61"/>
      <c r="BH595" s="61"/>
      <c r="BI595" s="6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  <c r="BV595" s="61"/>
      <c r="BW595" s="61"/>
      <c r="BX595" s="61"/>
      <c r="BY595" s="61"/>
    </row>
    <row r="596" spans="1:77">
      <c r="A596" s="10"/>
      <c r="B596" s="10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AS596" s="61"/>
      <c r="AT596" s="61"/>
      <c r="AU596" s="61"/>
      <c r="AV596" s="61"/>
      <c r="AW596" s="61"/>
      <c r="AX596" s="61"/>
      <c r="AY596" s="61"/>
      <c r="AZ596" s="61"/>
      <c r="BA596" s="61"/>
      <c r="BB596" s="61"/>
      <c r="BC596" s="61"/>
      <c r="BD596" s="61"/>
      <c r="BE596" s="61"/>
      <c r="BF596" s="61"/>
      <c r="BG596" s="61"/>
      <c r="BH596" s="61"/>
      <c r="BI596" s="6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  <c r="BV596" s="61"/>
      <c r="BW596" s="61"/>
      <c r="BX596" s="61"/>
      <c r="BY596" s="61"/>
    </row>
    <row r="597" spans="1:77">
      <c r="A597" s="10"/>
      <c r="B597" s="10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AS597" s="61"/>
      <c r="AT597" s="61"/>
      <c r="AU597" s="61"/>
      <c r="AV597" s="61"/>
      <c r="AW597" s="61"/>
      <c r="AX597" s="61"/>
      <c r="AY597" s="61"/>
      <c r="AZ597" s="61"/>
      <c r="BA597" s="61"/>
      <c r="BB597" s="61"/>
      <c r="BC597" s="61"/>
      <c r="BD597" s="61"/>
      <c r="BE597" s="61"/>
      <c r="BF597" s="61"/>
      <c r="BG597" s="61"/>
      <c r="BH597" s="61"/>
      <c r="BI597" s="6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  <c r="BV597" s="61"/>
      <c r="BW597" s="61"/>
      <c r="BX597" s="61"/>
      <c r="BY597" s="61"/>
    </row>
    <row r="598" spans="1:77">
      <c r="A598" s="10"/>
      <c r="B598" s="10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AS598" s="61"/>
      <c r="AT598" s="61"/>
      <c r="AU598" s="61"/>
      <c r="AV598" s="61"/>
      <c r="AW598" s="61"/>
      <c r="AX598" s="61"/>
      <c r="AY598" s="61"/>
      <c r="AZ598" s="61"/>
      <c r="BA598" s="61"/>
      <c r="BB598" s="61"/>
      <c r="BC598" s="61"/>
      <c r="BD598" s="61"/>
      <c r="BE598" s="61"/>
      <c r="BF598" s="61"/>
      <c r="BG598" s="61"/>
      <c r="BH598" s="61"/>
      <c r="BI598" s="6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  <c r="BV598" s="61"/>
      <c r="BW598" s="61"/>
      <c r="BX598" s="61"/>
      <c r="BY598" s="61"/>
    </row>
    <row r="599" spans="1:77">
      <c r="A599" s="10"/>
      <c r="B599" s="10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AS599" s="61"/>
      <c r="AT599" s="61"/>
      <c r="AU599" s="61"/>
      <c r="AV599" s="61"/>
      <c r="AW599" s="61"/>
      <c r="AX599" s="61"/>
      <c r="AY599" s="61"/>
      <c r="AZ599" s="61"/>
      <c r="BA599" s="61"/>
      <c r="BB599" s="61"/>
      <c r="BC599" s="61"/>
      <c r="BD599" s="61"/>
      <c r="BE599" s="61"/>
      <c r="BF599" s="61"/>
      <c r="BG599" s="61"/>
      <c r="BH599" s="61"/>
      <c r="BI599" s="6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  <c r="BV599" s="61"/>
      <c r="BW599" s="61"/>
      <c r="BX599" s="61"/>
      <c r="BY599" s="61"/>
    </row>
    <row r="600" spans="1:77">
      <c r="A600" s="10"/>
      <c r="B600" s="10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AS600" s="61"/>
      <c r="AT600" s="61"/>
      <c r="AU600" s="61"/>
      <c r="AV600" s="61"/>
      <c r="AW600" s="61"/>
      <c r="AX600" s="61"/>
      <c r="AY600" s="61"/>
      <c r="AZ600" s="61"/>
      <c r="BA600" s="61"/>
      <c r="BB600" s="61"/>
      <c r="BC600" s="61"/>
      <c r="BD600" s="61"/>
      <c r="BE600" s="61"/>
      <c r="BF600" s="61"/>
      <c r="BG600" s="61"/>
      <c r="BH600" s="61"/>
      <c r="BI600" s="6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  <c r="BV600" s="61"/>
      <c r="BW600" s="61"/>
      <c r="BX600" s="61"/>
      <c r="BY600" s="61"/>
    </row>
    <row r="601" spans="1:77">
      <c r="A601" s="10"/>
      <c r="B601" s="10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AS601" s="61"/>
      <c r="AT601" s="61"/>
      <c r="AU601" s="61"/>
      <c r="AV601" s="61"/>
      <c r="AW601" s="61"/>
      <c r="AX601" s="61"/>
      <c r="AY601" s="61"/>
      <c r="AZ601" s="61"/>
      <c r="BA601" s="61"/>
      <c r="BB601" s="61"/>
      <c r="BC601" s="61"/>
      <c r="BD601" s="61"/>
      <c r="BE601" s="61"/>
      <c r="BF601" s="61"/>
      <c r="BG601" s="61"/>
      <c r="BH601" s="61"/>
      <c r="BI601" s="6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  <c r="BV601" s="61"/>
      <c r="BW601" s="61"/>
      <c r="BX601" s="61"/>
      <c r="BY601" s="61"/>
    </row>
    <row r="602" spans="1:77">
      <c r="A602" s="10"/>
      <c r="B602" s="10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AS602" s="61"/>
      <c r="AT602" s="61"/>
      <c r="AU602" s="61"/>
      <c r="AV602" s="61"/>
      <c r="AW602" s="61"/>
      <c r="AX602" s="61"/>
      <c r="AY602" s="61"/>
      <c r="AZ602" s="61"/>
      <c r="BA602" s="61"/>
      <c r="BB602" s="61"/>
      <c r="BC602" s="61"/>
      <c r="BD602" s="61"/>
      <c r="BE602" s="61"/>
      <c r="BF602" s="61"/>
      <c r="BG602" s="61"/>
      <c r="BH602" s="61"/>
      <c r="BI602" s="6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  <c r="BV602" s="61"/>
      <c r="BW602" s="61"/>
      <c r="BX602" s="61"/>
      <c r="BY602" s="61"/>
    </row>
    <row r="603" spans="1:77">
      <c r="A603" s="10"/>
      <c r="B603" s="10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AS603" s="61"/>
      <c r="AT603" s="61"/>
      <c r="AU603" s="61"/>
      <c r="AV603" s="61"/>
      <c r="AW603" s="61"/>
      <c r="AX603" s="61"/>
      <c r="AY603" s="61"/>
      <c r="AZ603" s="61"/>
      <c r="BA603" s="61"/>
      <c r="BB603" s="61"/>
      <c r="BC603" s="61"/>
      <c r="BD603" s="61"/>
      <c r="BE603" s="61"/>
      <c r="BF603" s="61"/>
      <c r="BG603" s="61"/>
      <c r="BH603" s="61"/>
      <c r="BI603" s="6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  <c r="BV603" s="61"/>
      <c r="BW603" s="61"/>
      <c r="BX603" s="61"/>
      <c r="BY603" s="61"/>
    </row>
    <row r="604" spans="1:77">
      <c r="A604" s="10"/>
      <c r="B604" s="10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AS604" s="61"/>
      <c r="AT604" s="61"/>
      <c r="AU604" s="61"/>
      <c r="AV604" s="61"/>
      <c r="AW604" s="61"/>
      <c r="AX604" s="61"/>
      <c r="AY604" s="61"/>
      <c r="AZ604" s="61"/>
      <c r="BA604" s="61"/>
      <c r="BB604" s="61"/>
      <c r="BC604" s="61"/>
      <c r="BD604" s="61"/>
      <c r="BE604" s="61"/>
      <c r="BF604" s="61"/>
      <c r="BG604" s="61"/>
      <c r="BH604" s="61"/>
      <c r="BI604" s="6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  <c r="BV604" s="61"/>
      <c r="BW604" s="61"/>
      <c r="BX604" s="61"/>
      <c r="BY604" s="61"/>
    </row>
    <row r="605" spans="1:77">
      <c r="A605" s="10"/>
      <c r="B605" s="10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AS605" s="61"/>
      <c r="AT605" s="61"/>
      <c r="AU605" s="61"/>
      <c r="AV605" s="61"/>
      <c r="AW605" s="61"/>
      <c r="AX605" s="61"/>
      <c r="AY605" s="61"/>
      <c r="AZ605" s="61"/>
      <c r="BA605" s="61"/>
      <c r="BB605" s="61"/>
      <c r="BC605" s="61"/>
      <c r="BD605" s="61"/>
      <c r="BE605" s="61"/>
      <c r="BF605" s="61"/>
      <c r="BG605" s="61"/>
      <c r="BH605" s="61"/>
      <c r="BI605" s="6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  <c r="BV605" s="61"/>
      <c r="BW605" s="61"/>
      <c r="BX605" s="61"/>
      <c r="BY605" s="61"/>
    </row>
    <row r="606" spans="1:77">
      <c r="A606" s="10"/>
      <c r="B606" s="10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AS606" s="61"/>
      <c r="AT606" s="61"/>
      <c r="AU606" s="61"/>
      <c r="AV606" s="61"/>
      <c r="AW606" s="61"/>
      <c r="AX606" s="61"/>
      <c r="AY606" s="61"/>
      <c r="AZ606" s="61"/>
      <c r="BA606" s="61"/>
      <c r="BB606" s="61"/>
      <c r="BC606" s="61"/>
      <c r="BD606" s="61"/>
      <c r="BE606" s="61"/>
      <c r="BF606" s="61"/>
      <c r="BG606" s="61"/>
      <c r="BH606" s="61"/>
      <c r="BI606" s="6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  <c r="BV606" s="61"/>
      <c r="BW606" s="61"/>
      <c r="BX606" s="61"/>
      <c r="BY606" s="61"/>
    </row>
    <row r="607" spans="1:77">
      <c r="A607" s="10"/>
      <c r="B607" s="10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AS607" s="61"/>
      <c r="AT607" s="61"/>
      <c r="AU607" s="61"/>
      <c r="AV607" s="61"/>
      <c r="AW607" s="61"/>
      <c r="AX607" s="61"/>
      <c r="AY607" s="61"/>
      <c r="AZ607" s="61"/>
      <c r="BA607" s="61"/>
      <c r="BB607" s="61"/>
      <c r="BC607" s="61"/>
      <c r="BD607" s="61"/>
      <c r="BE607" s="61"/>
      <c r="BF607" s="61"/>
      <c r="BG607" s="61"/>
      <c r="BH607" s="61"/>
      <c r="BI607" s="6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  <c r="BV607" s="61"/>
      <c r="BW607" s="61"/>
      <c r="BX607" s="61"/>
      <c r="BY607" s="61"/>
    </row>
    <row r="608" spans="1:77">
      <c r="A608" s="10"/>
      <c r="B608" s="1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AS608" s="61"/>
      <c r="AT608" s="61"/>
      <c r="AU608" s="61"/>
      <c r="AV608" s="61"/>
      <c r="AW608" s="61"/>
      <c r="AX608" s="61"/>
      <c r="AY608" s="61"/>
      <c r="AZ608" s="61"/>
      <c r="BA608" s="61"/>
      <c r="BB608" s="61"/>
      <c r="BC608" s="61"/>
      <c r="BD608" s="61"/>
      <c r="BE608" s="61"/>
      <c r="BF608" s="61"/>
      <c r="BG608" s="61"/>
      <c r="BH608" s="61"/>
      <c r="BI608" s="6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  <c r="BV608" s="61"/>
      <c r="BW608" s="61"/>
      <c r="BX608" s="61"/>
      <c r="BY608" s="61"/>
    </row>
  </sheetData>
  <mergeCells count="15">
    <mergeCell ref="Q9:Q10"/>
    <mergeCell ref="R9:T9"/>
    <mergeCell ref="U9:U10"/>
    <mergeCell ref="V9:V10"/>
    <mergeCell ref="W9:Y9"/>
    <mergeCell ref="E1:H1"/>
    <mergeCell ref="I1:K1"/>
    <mergeCell ref="L1:M1"/>
    <mergeCell ref="N1:O1"/>
    <mergeCell ref="P1:Q1"/>
    <mergeCell ref="E9:J9"/>
    <mergeCell ref="K9:M9"/>
    <mergeCell ref="N9:N10"/>
    <mergeCell ref="O9:O10"/>
    <mergeCell ref="P9:P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XIAOPU QIN</dc:creator>
  <cp:lastModifiedBy>XIAOPU QIN</cp:lastModifiedBy>
  <dcterms:created xsi:type="dcterms:W3CDTF">2026-06-03T08:38:03Z</dcterms:created>
  <dcterms:modified xsi:type="dcterms:W3CDTF">2026-06-03T08:39:54Z</dcterms:modified>
</cp:coreProperties>
</file>